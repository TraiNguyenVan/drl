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u 2" sheetId="1" r:id="rId4"/>
  </sheets>
  <definedNames>
    <definedName localSheetId="0" name="OLE_LINK1">'Mau 2'!#REF!</definedName>
  </definedNames>
  <calcPr/>
  <extLst>
    <ext uri="GoogleSheetsCustomDataVersion2">
      <go:sheetsCustomData xmlns:go="http://customooxmlschemas.google.com/" r:id="rId5" roundtripDataChecksum="rGvYfwy76xv8gWOtYspQ24krwRkvyOgeUNDjgg9Cjzc="/>
    </ext>
  </extLst>
</workbook>
</file>

<file path=xl/sharedStrings.xml><?xml version="1.0" encoding="utf-8"?>
<sst xmlns="http://schemas.openxmlformats.org/spreadsheetml/2006/main" count="164" uniqueCount="147">
  <si>
    <t>Mẫu 2: Tổng hợp KQRL</t>
  </si>
  <si>
    <t>HỌC VIỆN CÔNG NGHỆ BƯU CHÍNH VIỄN THÔNG</t>
  </si>
  <si>
    <t>CỘNG HOÀ XÃ HỘI CHỦ NGHĨA VIỆT NAM</t>
  </si>
  <si>
    <t>HỌC VIỆN CNBCVT CƠ SỞ TẠI TP HỒ CHÍ MINH</t>
  </si>
  <si>
    <t>Độc lập - Tự do - Hạnh phúc</t>
  </si>
  <si>
    <t>Tp. Hồ Chí Minh, ngày  1   tháng  8   năm 2026</t>
  </si>
  <si>
    <t>TỔNG HỢP KẾT QUẢ RÈN LUYỆN CỦA SINH VIÊN</t>
  </si>
  <si>
    <t>Lớp: ........................</t>
  </si>
  <si>
    <t>E25CQCE02-N</t>
  </si>
  <si>
    <t>Khoa: Công nghệ thông tin 2</t>
  </si>
  <si>
    <t>Học kỳ: II</t>
  </si>
  <si>
    <t>Năm học: 2025- 2026</t>
  </si>
  <si>
    <t>TT</t>
  </si>
  <si>
    <t>Họ và tên</t>
  </si>
  <si>
    <t>Mã sinh viên</t>
  </si>
  <si>
    <t>ĐIỂM ĐÁNH GIÁ</t>
  </si>
  <si>
    <t>XẾP LOẠI RÈN LUYỆN</t>
  </si>
  <si>
    <t>GHI CHÚ</t>
  </si>
  <si>
    <r>
      <rPr>
        <rFont val="Times New Roman"/>
        <b/>
        <color theme="1"/>
        <sz val="11.0"/>
      </rPr>
      <t>Nội dung 1</t>
    </r>
    <r>
      <rPr>
        <rFont val="Times New Roman"/>
        <b/>
        <color theme="1"/>
        <sz val="8.0"/>
      </rPr>
      <t xml:space="preserve"> </t>
    </r>
    <r>
      <rPr>
        <rFont val="Times New Roman"/>
        <b/>
        <color theme="1"/>
        <sz val="7.0"/>
      </rPr>
      <t>(Max=20)</t>
    </r>
  </si>
  <si>
    <r>
      <rPr>
        <rFont val="Times New Roman"/>
        <b/>
        <color theme="1"/>
        <sz val="11.0"/>
      </rPr>
      <t>Nội dung 2</t>
    </r>
    <r>
      <rPr>
        <rFont val="Times New Roman"/>
        <b/>
        <color theme="1"/>
        <sz val="8.0"/>
      </rPr>
      <t xml:space="preserve"> </t>
    </r>
    <r>
      <rPr>
        <rFont val="Times New Roman"/>
        <b/>
        <color theme="1"/>
        <sz val="7.0"/>
      </rPr>
      <t>(Max=25)</t>
    </r>
  </si>
  <si>
    <r>
      <rPr>
        <rFont val="Times New Roman"/>
        <b/>
        <color theme="1"/>
        <sz val="11.0"/>
      </rPr>
      <t>Nội dung 3</t>
    </r>
    <r>
      <rPr>
        <rFont val="Times New Roman"/>
        <b/>
        <color theme="1"/>
        <sz val="7.0"/>
      </rPr>
      <t xml:space="preserve"> (Max=20)</t>
    </r>
  </si>
  <si>
    <r>
      <rPr>
        <rFont val="Times New Roman"/>
        <b/>
        <color theme="1"/>
        <sz val="11.0"/>
      </rPr>
      <t>Nội dung 4</t>
    </r>
    <r>
      <rPr>
        <rFont val="Times New Roman"/>
        <b/>
        <color theme="1"/>
        <sz val="7.0"/>
      </rPr>
      <t xml:space="preserve"> (Max=25)</t>
    </r>
  </si>
  <si>
    <r>
      <rPr>
        <rFont val="Times New Roman"/>
        <b/>
        <color theme="1"/>
        <sz val="11.0"/>
      </rPr>
      <t>Nội dung 5</t>
    </r>
    <r>
      <rPr>
        <rFont val="Times New Roman"/>
        <b/>
        <color theme="1"/>
        <sz val="7.0"/>
      </rPr>
      <t xml:space="preserve"> (Max=10)</t>
    </r>
  </si>
  <si>
    <t>Tổng điểm</t>
  </si>
  <si>
    <t>Nguyễn Hữu Chí</t>
  </si>
  <si>
    <t>Bảo</t>
  </si>
  <si>
    <t>N25DECE046</t>
  </si>
  <si>
    <t>Phan Quang</t>
  </si>
  <si>
    <t>Đức</t>
  </si>
  <si>
    <t>N25DECE047</t>
  </si>
  <si>
    <t>Nguyễn Hàm Anh</t>
  </si>
  <si>
    <t>Dũng</t>
  </si>
  <si>
    <t>N25DECE048</t>
  </si>
  <si>
    <t>Thái Dương Tuấn</t>
  </si>
  <si>
    <t>N25DECE049</t>
  </si>
  <si>
    <t>Lê</t>
  </si>
  <si>
    <t>Hoàng</t>
  </si>
  <si>
    <t>N25DECE051</t>
  </si>
  <si>
    <t>Nguyễn Gia</t>
  </si>
  <si>
    <t>Khang</t>
  </si>
  <si>
    <t>N25DECE053</t>
  </si>
  <si>
    <t>Trần Trung</t>
  </si>
  <si>
    <t>Kiên</t>
  </si>
  <si>
    <t>N25DECE054</t>
  </si>
  <si>
    <t>Võ</t>
  </si>
  <si>
    <t>Lâm</t>
  </si>
  <si>
    <t>N25DECE055</t>
  </si>
  <si>
    <t>Tô Tấn</t>
  </si>
  <si>
    <t>Lực</t>
  </si>
  <si>
    <t>N25DECE056</t>
  </si>
  <si>
    <t>Bùi Thanh</t>
  </si>
  <si>
    <t>Minh</t>
  </si>
  <si>
    <t>N25DECE057</t>
  </si>
  <si>
    <t>Châu Khánh</t>
  </si>
  <si>
    <t>Ngọc</t>
  </si>
  <si>
    <t>N25DECE058</t>
  </si>
  <si>
    <t>Nguyễn Thanh</t>
  </si>
  <si>
    <t>Nhân</t>
  </si>
  <si>
    <t>N25DECE059</t>
  </si>
  <si>
    <t>Nguyễn Minh</t>
  </si>
  <si>
    <t>Nhật</t>
  </si>
  <si>
    <t>N25DECE060</t>
  </si>
  <si>
    <t>Phạm Thị Quỳnh</t>
  </si>
  <si>
    <t>Như</t>
  </si>
  <si>
    <t>N25DECE061</t>
  </si>
  <si>
    <t>Vũ Lê Thành</t>
  </si>
  <si>
    <t>Phát</t>
  </si>
  <si>
    <t>N25DECE062</t>
  </si>
  <si>
    <t>Võ Triệu</t>
  </si>
  <si>
    <t>Phú</t>
  </si>
  <si>
    <t>N25DECE063</t>
  </si>
  <si>
    <t>Phan Đoàn Thành</t>
  </si>
  <si>
    <t>Tài</t>
  </si>
  <si>
    <t>N25DECE065</t>
  </si>
  <si>
    <t xml:space="preserve">Trần </t>
  </si>
  <si>
    <t>Thành</t>
  </si>
  <si>
    <t>N25DECE067</t>
  </si>
  <si>
    <t>Dương Hữu</t>
  </si>
  <si>
    <t>Thiện</t>
  </si>
  <si>
    <t>N25DECE068</t>
  </si>
  <si>
    <t>Cao Nguyễn Hữu</t>
  </si>
  <si>
    <t>Thuận</t>
  </si>
  <si>
    <t>N25DECE069</t>
  </si>
  <si>
    <t>Nguyễn Quốc</t>
  </si>
  <si>
    <t>Toàn</t>
  </si>
  <si>
    <t>N25DECE070</t>
  </si>
  <si>
    <t>Nguyễn Trương Minh</t>
  </si>
  <si>
    <t>Triết</t>
  </si>
  <si>
    <t>N25DECE071</t>
  </si>
  <si>
    <t>Nguyễn Phạm Thành</t>
  </si>
  <si>
    <t>Trung</t>
  </si>
  <si>
    <t>N25DECE072</t>
  </si>
  <si>
    <t xml:space="preserve">Nguyễn Anh </t>
  </si>
  <si>
    <t>Tuấn</t>
  </si>
  <si>
    <t>N25DECE073</t>
  </si>
  <si>
    <t>Trương Quang</t>
  </si>
  <si>
    <t>N25DECE074</t>
  </si>
  <si>
    <t>Tôn Phương</t>
  </si>
  <si>
    <t>Uyên</t>
  </si>
  <si>
    <t>N25DECE075</t>
  </si>
  <si>
    <t>Nguyễn Quân</t>
  </si>
  <si>
    <t>Vương</t>
  </si>
  <si>
    <t>N25DECE076</t>
  </si>
  <si>
    <t>Trần Quốc</t>
  </si>
  <si>
    <t>Anh</t>
  </si>
  <si>
    <t>N25DECE077</t>
  </si>
  <si>
    <t>Vương Hà Hải</t>
  </si>
  <si>
    <t>Đăng</t>
  </si>
  <si>
    <t>N25DECE078</t>
  </si>
  <si>
    <t>Nguyễn Anh</t>
  </si>
  <si>
    <t>N25DECE079</t>
  </si>
  <si>
    <t>Thẩm Trường</t>
  </si>
  <si>
    <t>Giang</t>
  </si>
  <si>
    <t>N25DECE080</t>
  </si>
  <si>
    <t>Lê Quốc</t>
  </si>
  <si>
    <t>Hưng</t>
  </si>
  <si>
    <t>N25DECE081</t>
  </si>
  <si>
    <t>Ngô Trí</t>
  </si>
  <si>
    <t>Long</t>
  </si>
  <si>
    <t>N25DECE082</t>
  </si>
  <si>
    <t xml:space="preserve">Hoàng Trí </t>
  </si>
  <si>
    <t>N25DECE083</t>
  </si>
  <si>
    <t>Nguyễn Hoàng Phú</t>
  </si>
  <si>
    <t>N25DECE084</t>
  </si>
  <si>
    <t>Nguyễn Văn</t>
  </si>
  <si>
    <t>Trãi</t>
  </si>
  <si>
    <t>N25DECE085</t>
  </si>
  <si>
    <t>Nguyễn Phương Quốc</t>
  </si>
  <si>
    <t>N25DECE086</t>
  </si>
  <si>
    <t>Danh sách có</t>
  </si>
  <si>
    <t xml:space="preserve"> sinh viên</t>
  </si>
  <si>
    <t>Lưu ý: Kết quả điểm rèn luyện được phân thành các loại: Xuất sắc, Tốt, Khá, Trung bình, Yếu, Kém</t>
  </si>
  <si>
    <t>_ Loại Xuất sắc: Từ 90- đến 100 điểm</t>
  </si>
  <si>
    <t>Sinh viên</t>
  </si>
  <si>
    <t>%</t>
  </si>
  <si>
    <t>_ Loại Tốt: Từ 80 đến dưới 90 điểm</t>
  </si>
  <si>
    <t>_ Loại Khá: Từ 65 đến dưới 80 điểm</t>
  </si>
  <si>
    <t>_ Loại Trung bình: Từ 50 đến dưới 65 điểm</t>
  </si>
  <si>
    <t>_ Loại Yếu: Từ 35 đến dưới 50 điểm</t>
  </si>
  <si>
    <t>_ Loại kém: Dưới 35 điểm</t>
  </si>
  <si>
    <t>Khoa đào tạo</t>
  </si>
  <si>
    <t>Cố vấn học tập</t>
  </si>
  <si>
    <t>Lớp trưởng</t>
  </si>
  <si>
    <t>(Ký và ghi rõ họ tên)</t>
  </si>
  <si>
    <t>Công nghệ thông tin 2</t>
  </si>
  <si>
    <t>Nguyễn Trung Hiếu</t>
  </si>
  <si>
    <t>Ngô Trí 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</si>
</sst>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0.0"/>
      <color theme="1"/>
      <name val="Times New Roman"/>
    </font>
    <font>
      <b/>
      <u/>
      <sz val="12.0"/>
      <color theme="1"/>
      <name val="Times New Roman"/>
    </font>
    <font>
      <sz val="11.0"/>
      <color theme="1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i/>
      <sz val="11.0"/>
      <color theme="1"/>
      <name val="Times New Roman"/>
    </font>
    <font>
      <b/>
      <sz val="15.0"/>
      <color theme="1"/>
      <name val="Times New Roman"/>
    </font>
    <font>
      <b/>
      <i/>
      <sz val="12.0"/>
      <color theme="1"/>
      <name val="Times New Roman"/>
    </font>
    <font>
      <sz val="12.0"/>
      <color rgb="FFFF0000"/>
      <name val="Times New Roman"/>
    </font>
    <font>
      <b/>
      <sz val="11.0"/>
      <color theme="1"/>
      <name val="Times New Roman"/>
    </font>
    <font/>
    <font>
      <i/>
      <sz val="10.0"/>
      <color theme="1"/>
      <name val="Times New Roman"/>
    </font>
    <font>
      <b/>
      <i/>
      <sz val="8.0"/>
      <color theme="1"/>
      <name val="Times New Roman"/>
    </font>
    <font>
      <b/>
      <i/>
      <sz val="11.0"/>
      <color theme="1"/>
      <name val="Times New Roman"/>
    </font>
    <font>
      <i/>
      <sz val="9.0"/>
      <color theme="1"/>
      <name val="Times New Roman"/>
    </font>
    <font>
      <i/>
      <sz val="8.0"/>
      <color theme="1"/>
      <name val="Times New Roman"/>
    </font>
    <font>
      <i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6">
    <border/>
    <border>
      <bottom style="double">
        <color rgb="FF000000"/>
      </bottom>
    </border>
    <border>
      <left style="double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 style="double">
        <color rgb="FF000000"/>
      </left>
      <right style="medium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right style="double">
        <color rgb="FF000000"/>
      </right>
      <bottom style="dotted">
        <color rgb="FF000000"/>
      </bottom>
    </border>
    <border>
      <left style="double">
        <color rgb="FF000000"/>
      </left>
      <right style="medium">
        <color rgb="FF000000"/>
      </right>
      <top style="dotted">
        <color rgb="FF000000"/>
      </top>
      <bottom style="double">
        <color rgb="FF000000"/>
      </bottom>
    </border>
    <border>
      <right style="dotted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5" numFmtId="0" xfId="0" applyFont="1"/>
    <xf borderId="0" fillId="0" fontId="10" numFmtId="0" xfId="0" applyAlignment="1" applyFont="1">
      <alignment readingOrder="0"/>
    </xf>
    <xf borderId="1" fillId="0" fontId="5" numFmtId="0" xfId="0" applyBorder="1" applyFont="1"/>
    <xf borderId="2" fillId="0" fontId="11" numFmtId="0" xfId="0" applyAlignment="1" applyBorder="1" applyFont="1">
      <alignment horizontal="center" shrinkToFit="0" vertical="top" wrapText="1"/>
    </xf>
    <xf borderId="3" fillId="0" fontId="11" numFmtId="0" xfId="0" applyAlignment="1" applyBorder="1" applyFont="1">
      <alignment horizontal="center" shrinkToFit="0" vertical="top" wrapText="1"/>
    </xf>
    <xf borderId="4" fillId="0" fontId="12" numFmtId="0" xfId="0" applyBorder="1" applyFont="1"/>
    <xf borderId="5" fillId="0" fontId="11" numFmtId="0" xfId="0" applyAlignment="1" applyBorder="1" applyFont="1">
      <alignment horizontal="center" shrinkToFit="0" vertical="top" wrapText="1"/>
    </xf>
    <xf borderId="6" fillId="0" fontId="11" numFmtId="0" xfId="0" applyAlignment="1" applyBorder="1" applyFont="1">
      <alignment horizontal="center" shrinkToFit="0" vertical="top" wrapText="1"/>
    </xf>
    <xf borderId="7" fillId="0" fontId="12" numFmtId="0" xfId="0" applyBorder="1" applyFont="1"/>
    <xf borderId="8" fillId="0" fontId="12" numFmtId="0" xfId="0" applyBorder="1" applyFont="1"/>
    <xf borderId="9" fillId="0" fontId="11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vertical="top"/>
    </xf>
    <xf borderId="10" fillId="0" fontId="12" numFmtId="0" xfId="0" applyBorder="1" applyFont="1"/>
    <xf borderId="11" fillId="0" fontId="12" numFmtId="0" xfId="0" applyBorder="1" applyFont="1"/>
    <xf borderId="12" fillId="0" fontId="12" numFmtId="0" xfId="0" applyBorder="1" applyFont="1"/>
    <xf borderId="13" fillId="0" fontId="12" numFmtId="0" xfId="0" applyBorder="1" applyFont="1"/>
    <xf borderId="12" fillId="0" fontId="4" numFmtId="0" xfId="0" applyAlignment="1" applyBorder="1" applyFont="1">
      <alignment horizontal="center" shrinkToFit="0" vertical="top" wrapText="1"/>
    </xf>
    <xf borderId="14" fillId="0" fontId="4" numFmtId="0" xfId="0" applyAlignment="1" applyBorder="1" applyFont="1">
      <alignment horizontal="center" shrinkToFit="0" vertical="top" wrapText="1"/>
    </xf>
    <xf borderId="14" fillId="0" fontId="11" numFmtId="0" xfId="0" applyAlignment="1" applyBorder="1" applyFont="1">
      <alignment horizontal="center" shrinkToFit="0" vertical="top" wrapText="1"/>
    </xf>
    <xf borderId="15" fillId="0" fontId="12" numFmtId="0" xfId="0" applyBorder="1" applyFont="1"/>
    <xf borderId="16" fillId="0" fontId="1" numFmtId="0" xfId="0" applyAlignment="1" applyBorder="1" applyFont="1">
      <alignment horizontal="center" shrinkToFit="0" vertical="top" wrapText="1"/>
    </xf>
    <xf borderId="17" fillId="0" fontId="13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readingOrder="0" shrinkToFit="0" vertical="top" wrapText="1"/>
    </xf>
    <xf borderId="18" fillId="0" fontId="15" numFmtId="0" xfId="0" applyAlignment="1" applyBorder="1" applyFont="1">
      <alignment horizontal="center" shrinkToFit="0" vertical="top" wrapText="1"/>
    </xf>
    <xf borderId="19" fillId="0" fontId="16" numFmtId="0" xfId="0" applyAlignment="1" applyBorder="1" applyFont="1">
      <alignment horizontal="center" shrinkToFit="0" vertical="top" wrapText="1"/>
    </xf>
    <xf borderId="20" fillId="0" fontId="6" numFmtId="0" xfId="0" applyAlignment="1" applyBorder="1" applyFont="1">
      <alignment horizontal="center" shrinkToFit="0" vertical="top" wrapText="1"/>
    </xf>
    <xf borderId="17" fillId="0" fontId="7" numFmtId="0" xfId="0" applyAlignment="1" applyBorder="1" applyFont="1">
      <alignment horizontal="center" shrinkToFit="0" vertical="center" wrapText="1"/>
    </xf>
    <xf borderId="17" fillId="0" fontId="16" numFmtId="0" xfId="0" applyAlignment="1" applyBorder="1" applyFont="1">
      <alignment horizontal="center" shrinkToFit="0" vertical="center" wrapText="1"/>
    </xf>
    <xf borderId="16" fillId="2" fontId="1" numFmtId="0" xfId="0" applyAlignment="1" applyBorder="1" applyFill="1" applyFont="1">
      <alignment horizontal="center" shrinkToFit="0" vertical="top" wrapText="1"/>
    </xf>
    <xf borderId="17" fillId="2" fontId="7" numFmtId="0" xfId="0" applyAlignment="1" applyBorder="1" applyFont="1">
      <alignment horizontal="center" shrinkToFit="0" vertical="center" wrapText="1"/>
    </xf>
    <xf borderId="18" fillId="2" fontId="6" numFmtId="0" xfId="0" applyAlignment="1" applyBorder="1" applyFont="1">
      <alignment horizontal="center" shrinkToFit="0" vertical="center" wrapText="1"/>
    </xf>
    <xf borderId="18" fillId="2" fontId="14" numFmtId="0" xfId="0" applyAlignment="1" applyBorder="1" applyFont="1">
      <alignment horizontal="center" shrinkToFit="0" vertical="center" wrapText="1"/>
    </xf>
    <xf borderId="18" fillId="2" fontId="6" numFmtId="0" xfId="0" applyAlignment="1" applyBorder="1" applyFont="1">
      <alignment horizontal="center" readingOrder="0" shrinkToFit="0" vertical="top" wrapText="1"/>
    </xf>
    <xf borderId="18" fillId="2" fontId="15" numFmtId="0" xfId="0" applyAlignment="1" applyBorder="1" applyFont="1">
      <alignment horizontal="center" shrinkToFit="0" vertical="top" wrapText="1"/>
    </xf>
    <xf borderId="19" fillId="2" fontId="16" numFmtId="0" xfId="0" applyAlignment="1" applyBorder="1" applyFont="1">
      <alignment horizontal="center" shrinkToFit="0" vertical="top" wrapText="1"/>
    </xf>
    <xf borderId="20" fillId="2" fontId="6" numFmtId="0" xfId="0" applyAlignment="1" applyBorder="1" applyFont="1">
      <alignment horizontal="center" shrinkToFit="0" vertical="top" wrapText="1"/>
    </xf>
    <xf borderId="17" fillId="2" fontId="16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center" readingOrder="0" shrinkToFit="0" vertical="top" wrapText="1"/>
    </xf>
    <xf borderId="17" fillId="2" fontId="1" numFmtId="0" xfId="0" applyAlignment="1" applyBorder="1" applyFont="1">
      <alignment horizontal="center" shrinkToFit="0" vertical="center" wrapText="1"/>
    </xf>
    <xf borderId="20" fillId="2" fontId="15" numFmtId="0" xfId="0" applyAlignment="1" applyBorder="1" applyFont="1">
      <alignment horizontal="center" shrinkToFit="0" vertical="top" wrapText="1"/>
    </xf>
    <xf borderId="17" fillId="0" fontId="17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top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top" wrapText="1"/>
    </xf>
    <xf borderId="20" fillId="0" fontId="11" numFmtId="0" xfId="0" applyAlignment="1" applyBorder="1" applyFont="1">
      <alignment horizontal="center" shrinkToFit="0" vertical="top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0" fontId="17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3" fillId="0" fontId="14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readingOrder="0" shrinkToFit="0" vertical="top" wrapText="1"/>
    </xf>
    <xf borderId="24" fillId="0" fontId="15" numFmtId="0" xfId="0" applyAlignment="1" applyBorder="1" applyFont="1">
      <alignment horizontal="center" shrinkToFit="0" vertical="top" wrapText="1"/>
    </xf>
    <xf borderId="24" fillId="0" fontId="16" numFmtId="0" xfId="0" applyAlignment="1" applyBorder="1" applyFont="1">
      <alignment horizontal="center" shrinkToFit="0" vertical="top" wrapText="1"/>
    </xf>
    <xf borderId="25" fillId="0" fontId="6" numFmtId="0" xfId="0" applyAlignment="1" applyBorder="1" applyFont="1">
      <alignment horizontal="center" shrinkToFit="0" vertical="top" wrapText="1"/>
    </xf>
    <xf borderId="0" fillId="0" fontId="11" numFmtId="0" xfId="0" applyFont="1"/>
    <xf borderId="0" fillId="0" fontId="6" numFmtId="0" xfId="0" applyFont="1"/>
    <xf borderId="0" fillId="0" fontId="5" numFmtId="0" xfId="0" applyAlignment="1" applyFont="1">
      <alignment horizontal="right" vertical="top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6" numFmtId="2" xfId="0" applyAlignment="1" applyFont="1" applyNumberFormat="1">
      <alignment horizontal="right"/>
    </xf>
    <xf borderId="0" fillId="0" fontId="18" numFmtId="0" xfId="0" applyAlignment="1" applyFont="1">
      <alignment shrinkToFit="0" vertical="top" wrapText="1"/>
    </xf>
    <xf borderId="0" fillId="0" fontId="18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5.0"/>
    <col customWidth="1" min="3" max="3" width="7.71"/>
    <col customWidth="1" min="4" max="4" width="10.71"/>
    <col customWidth="1" min="5" max="10" width="9.14"/>
    <col customWidth="1" min="11" max="11" width="9.86"/>
    <col customWidth="1" min="12" max="12" width="7.57"/>
    <col customWidth="1" min="13" max="26" width="8.71"/>
  </cols>
  <sheetData>
    <row r="1" ht="31.5" customHeight="1">
      <c r="A1" s="1"/>
      <c r="B1" s="2" t="s">
        <v>0</v>
      </c>
      <c r="E1" s="3"/>
      <c r="F1" s="3"/>
      <c r="G1" s="3"/>
      <c r="H1" s="4"/>
      <c r="I1" s="4"/>
      <c r="J1" s="4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5" t="s">
        <v>1</v>
      </c>
      <c r="G2" s="6" t="s">
        <v>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0" customHeight="1">
      <c r="A3" s="7" t="s">
        <v>3</v>
      </c>
      <c r="G3" s="7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/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0" customHeight="1">
      <c r="A5" s="8"/>
      <c r="B5" s="3"/>
      <c r="C5" s="3"/>
      <c r="D5" s="3"/>
      <c r="E5" s="3"/>
      <c r="F5" s="10" t="s">
        <v>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8.25" customHeight="1">
      <c r="A6" s="1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13" t="s">
        <v>7</v>
      </c>
      <c r="B9" s="13" t="s">
        <v>8</v>
      </c>
      <c r="C9" s="13"/>
      <c r="D9" s="13"/>
      <c r="E9" s="13"/>
      <c r="F9" s="13" t="s">
        <v>9</v>
      </c>
      <c r="G9" s="13"/>
      <c r="H9" s="13"/>
      <c r="I9" s="13"/>
      <c r="J9" s="13"/>
      <c r="K9" s="13"/>
      <c r="L9" s="1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14" t="s">
        <v>10</v>
      </c>
      <c r="B10" s="13"/>
      <c r="C10" s="13"/>
      <c r="D10" s="13"/>
      <c r="E10" s="13"/>
      <c r="F10" s="13" t="s">
        <v>11</v>
      </c>
      <c r="G10" s="13"/>
      <c r="H10" s="13"/>
      <c r="I10" s="13"/>
      <c r="J10" s="13"/>
      <c r="K10" s="13"/>
      <c r="L10" s="1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16" t="s">
        <v>12</v>
      </c>
      <c r="B12" s="17" t="s">
        <v>13</v>
      </c>
      <c r="C12" s="18"/>
      <c r="D12" s="19" t="s">
        <v>14</v>
      </c>
      <c r="E12" s="20" t="s">
        <v>15</v>
      </c>
      <c r="F12" s="21"/>
      <c r="G12" s="21"/>
      <c r="H12" s="21"/>
      <c r="I12" s="21"/>
      <c r="J12" s="22"/>
      <c r="K12" s="19" t="s">
        <v>16</v>
      </c>
      <c r="L12" s="23" t="s">
        <v>17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48.0" customHeight="1">
      <c r="A13" s="25"/>
      <c r="B13" s="26"/>
      <c r="C13" s="27"/>
      <c r="D13" s="28"/>
      <c r="E13" s="29" t="s">
        <v>18</v>
      </c>
      <c r="F13" s="30" t="s">
        <v>19</v>
      </c>
      <c r="G13" s="30" t="s">
        <v>20</v>
      </c>
      <c r="H13" s="30" t="s">
        <v>21</v>
      </c>
      <c r="I13" s="30" t="s">
        <v>22</v>
      </c>
      <c r="J13" s="31" t="s">
        <v>23</v>
      </c>
      <c r="K13" s="28"/>
      <c r="L13" s="32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33">
        <v>1.0</v>
      </c>
      <c r="B14" s="34" t="s">
        <v>24</v>
      </c>
      <c r="C14" s="35" t="s">
        <v>25</v>
      </c>
      <c r="D14" s="36" t="s">
        <v>26</v>
      </c>
      <c r="E14" s="37">
        <v>16.0</v>
      </c>
      <c r="F14" s="37">
        <v>20.0</v>
      </c>
      <c r="G14" s="37">
        <v>7.0</v>
      </c>
      <c r="H14" s="37">
        <v>23.0</v>
      </c>
      <c r="I14" s="37">
        <v>0.0</v>
      </c>
      <c r="J14" s="38">
        <f t="shared" ref="J14:J50" si="1">SUM(E14:I14)</f>
        <v>66</v>
      </c>
      <c r="K14" s="39" t="str">
        <f t="shared" ref="K14:K50" si="2">IF(J14&lt;35,"Kém",IF(J14&lt;50,"Yếu",IF(J14&lt;65,"Trung bình",IF(J14&lt;80,"Khá",IF(J14&lt;90,"Tốt","Xuất sắc")))))</f>
        <v>Khá</v>
      </c>
      <c r="L14" s="40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33">
        <v>2.0</v>
      </c>
      <c r="B15" s="41" t="s">
        <v>27</v>
      </c>
      <c r="C15" s="35" t="s">
        <v>28</v>
      </c>
      <c r="D15" s="36" t="s">
        <v>29</v>
      </c>
      <c r="E15" s="37">
        <v>16.0</v>
      </c>
      <c r="F15" s="37">
        <v>19.0</v>
      </c>
      <c r="G15" s="37">
        <v>11.0</v>
      </c>
      <c r="H15" s="37">
        <v>23.0</v>
      </c>
      <c r="I15" s="37">
        <v>0.0</v>
      </c>
      <c r="J15" s="38">
        <f t="shared" si="1"/>
        <v>69</v>
      </c>
      <c r="K15" s="39" t="str">
        <f t="shared" si="2"/>
        <v>Khá</v>
      </c>
      <c r="L15" s="40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33">
        <v>3.0</v>
      </c>
      <c r="B16" s="42" t="s">
        <v>30</v>
      </c>
      <c r="C16" s="35" t="s">
        <v>31</v>
      </c>
      <c r="D16" s="36" t="s">
        <v>32</v>
      </c>
      <c r="E16" s="37">
        <v>20.0</v>
      </c>
      <c r="F16" s="37">
        <v>22.0</v>
      </c>
      <c r="G16" s="37">
        <v>16.0</v>
      </c>
      <c r="H16" s="37">
        <v>23.0</v>
      </c>
      <c r="I16" s="37">
        <v>3.0</v>
      </c>
      <c r="J16" s="38">
        <f t="shared" si="1"/>
        <v>84</v>
      </c>
      <c r="K16" s="39" t="str">
        <f t="shared" si="2"/>
        <v>Tốt</v>
      </c>
      <c r="L16" s="40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7.25" customHeight="1">
      <c r="A17" s="33">
        <v>4.0</v>
      </c>
      <c r="B17" s="42" t="s">
        <v>33</v>
      </c>
      <c r="C17" s="35" t="s">
        <v>31</v>
      </c>
      <c r="D17" s="36" t="s">
        <v>34</v>
      </c>
      <c r="E17" s="37">
        <v>20.0</v>
      </c>
      <c r="F17" s="37">
        <v>19.0</v>
      </c>
      <c r="G17" s="37">
        <v>7.0</v>
      </c>
      <c r="H17" s="37">
        <v>23.0</v>
      </c>
      <c r="I17" s="37">
        <v>0.0</v>
      </c>
      <c r="J17" s="38">
        <f t="shared" si="1"/>
        <v>69</v>
      </c>
      <c r="K17" s="39" t="str">
        <f t="shared" si="2"/>
        <v>Khá</v>
      </c>
      <c r="L17" s="40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43">
        <v>5.0</v>
      </c>
      <c r="B18" s="44" t="s">
        <v>35</v>
      </c>
      <c r="C18" s="45" t="s">
        <v>36</v>
      </c>
      <c r="D18" s="46" t="s">
        <v>37</v>
      </c>
      <c r="E18" s="47">
        <v>17.0</v>
      </c>
      <c r="F18" s="47">
        <v>19.0</v>
      </c>
      <c r="G18" s="47">
        <v>3.0</v>
      </c>
      <c r="H18" s="47">
        <v>18.0</v>
      </c>
      <c r="I18" s="47">
        <v>0.0</v>
      </c>
      <c r="J18" s="48">
        <f t="shared" si="1"/>
        <v>57</v>
      </c>
      <c r="K18" s="49" t="str">
        <f t="shared" si="2"/>
        <v>Trung bình</v>
      </c>
      <c r="L18" s="50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33">
        <v>6.0</v>
      </c>
      <c r="B19" s="41" t="s">
        <v>38</v>
      </c>
      <c r="C19" s="35" t="s">
        <v>39</v>
      </c>
      <c r="D19" s="36" t="s">
        <v>40</v>
      </c>
      <c r="E19" s="37">
        <v>15.0</v>
      </c>
      <c r="F19" s="37">
        <v>18.0</v>
      </c>
      <c r="G19" s="37">
        <v>11.0</v>
      </c>
      <c r="H19" s="37">
        <v>23.0</v>
      </c>
      <c r="I19" s="37">
        <v>0.0</v>
      </c>
      <c r="J19" s="38">
        <f t="shared" si="1"/>
        <v>67</v>
      </c>
      <c r="K19" s="39" t="str">
        <f t="shared" si="2"/>
        <v>Khá</v>
      </c>
      <c r="L19" s="40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43">
        <v>7.0</v>
      </c>
      <c r="B20" s="44" t="s">
        <v>41</v>
      </c>
      <c r="C20" s="45" t="s">
        <v>42</v>
      </c>
      <c r="D20" s="46" t="s">
        <v>43</v>
      </c>
      <c r="E20" s="47">
        <v>14.0</v>
      </c>
      <c r="F20" s="47">
        <v>20.0</v>
      </c>
      <c r="G20" s="47">
        <v>3.0</v>
      </c>
      <c r="H20" s="47">
        <v>23.0</v>
      </c>
      <c r="I20" s="47">
        <v>0.0</v>
      </c>
      <c r="J20" s="48">
        <f t="shared" si="1"/>
        <v>60</v>
      </c>
      <c r="K20" s="49" t="str">
        <f t="shared" si="2"/>
        <v>Trung bình</v>
      </c>
      <c r="L20" s="50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33">
        <v>8.0</v>
      </c>
      <c r="B21" s="41" t="s">
        <v>44</v>
      </c>
      <c r="C21" s="35" t="s">
        <v>45</v>
      </c>
      <c r="D21" s="36" t="s">
        <v>46</v>
      </c>
      <c r="E21" s="37">
        <v>18.0</v>
      </c>
      <c r="F21" s="37">
        <v>23.0</v>
      </c>
      <c r="G21" s="37">
        <v>17.0</v>
      </c>
      <c r="H21" s="37">
        <v>23.0</v>
      </c>
      <c r="I21" s="37">
        <v>0.0</v>
      </c>
      <c r="J21" s="38">
        <f t="shared" si="1"/>
        <v>81</v>
      </c>
      <c r="K21" s="39" t="str">
        <f t="shared" si="2"/>
        <v>Tốt</v>
      </c>
      <c r="L21" s="40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33">
        <v>9.0</v>
      </c>
      <c r="B22" s="41" t="s">
        <v>47</v>
      </c>
      <c r="C22" s="35" t="s">
        <v>48</v>
      </c>
      <c r="D22" s="36" t="s">
        <v>49</v>
      </c>
      <c r="E22" s="37">
        <v>15.0</v>
      </c>
      <c r="F22" s="37">
        <v>22.0</v>
      </c>
      <c r="G22" s="37">
        <v>20.0</v>
      </c>
      <c r="H22" s="37">
        <v>23.0</v>
      </c>
      <c r="I22" s="37">
        <v>0.0</v>
      </c>
      <c r="J22" s="38">
        <f t="shared" si="1"/>
        <v>80</v>
      </c>
      <c r="K22" s="39" t="str">
        <f t="shared" si="2"/>
        <v>Tốt</v>
      </c>
      <c r="L22" s="40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33">
        <v>10.0</v>
      </c>
      <c r="B23" s="41" t="s">
        <v>50</v>
      </c>
      <c r="C23" s="35" t="s">
        <v>51</v>
      </c>
      <c r="D23" s="36" t="s">
        <v>52</v>
      </c>
      <c r="E23" s="37">
        <v>16.0</v>
      </c>
      <c r="F23" s="37">
        <v>22.0</v>
      </c>
      <c r="G23" s="37">
        <v>16.0</v>
      </c>
      <c r="H23" s="37">
        <v>23.0</v>
      </c>
      <c r="I23" s="37">
        <v>3.0</v>
      </c>
      <c r="J23" s="38">
        <f t="shared" si="1"/>
        <v>80</v>
      </c>
      <c r="K23" s="39" t="str">
        <f t="shared" si="2"/>
        <v>Tốt</v>
      </c>
      <c r="L23" s="40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33">
        <v>11.0</v>
      </c>
      <c r="B24" s="41" t="s">
        <v>53</v>
      </c>
      <c r="C24" s="35" t="s">
        <v>54</v>
      </c>
      <c r="D24" s="36" t="s">
        <v>55</v>
      </c>
      <c r="E24" s="37">
        <v>16.0</v>
      </c>
      <c r="F24" s="37">
        <v>23.0</v>
      </c>
      <c r="G24" s="37">
        <v>17.0</v>
      </c>
      <c r="H24" s="37">
        <v>23.0</v>
      </c>
      <c r="I24" s="37">
        <v>3.0</v>
      </c>
      <c r="J24" s="38">
        <f t="shared" si="1"/>
        <v>82</v>
      </c>
      <c r="K24" s="39" t="str">
        <f t="shared" si="2"/>
        <v>Tốt</v>
      </c>
      <c r="L24" s="40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33">
        <v>12.0</v>
      </c>
      <c r="B25" s="41" t="s">
        <v>56</v>
      </c>
      <c r="C25" s="35" t="s">
        <v>57</v>
      </c>
      <c r="D25" s="36" t="s">
        <v>58</v>
      </c>
      <c r="E25" s="37">
        <v>16.0</v>
      </c>
      <c r="F25" s="37">
        <v>25.0</v>
      </c>
      <c r="G25" s="37">
        <v>16.0</v>
      </c>
      <c r="H25" s="37">
        <v>23.0</v>
      </c>
      <c r="I25" s="37">
        <v>0.0</v>
      </c>
      <c r="J25" s="38">
        <f t="shared" si="1"/>
        <v>80</v>
      </c>
      <c r="K25" s="39" t="str">
        <f t="shared" si="2"/>
        <v>Tốt</v>
      </c>
      <c r="L25" s="40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33">
        <v>13.0</v>
      </c>
      <c r="B26" s="41" t="s">
        <v>59</v>
      </c>
      <c r="C26" s="35" t="s">
        <v>60</v>
      </c>
      <c r="D26" s="36" t="s">
        <v>61</v>
      </c>
      <c r="E26" s="37">
        <v>16.0</v>
      </c>
      <c r="F26" s="37">
        <v>22.0</v>
      </c>
      <c r="G26" s="37">
        <v>13.0</v>
      </c>
      <c r="H26" s="37">
        <v>23.0</v>
      </c>
      <c r="I26" s="37">
        <v>0.0</v>
      </c>
      <c r="J26" s="38">
        <f t="shared" si="1"/>
        <v>74</v>
      </c>
      <c r="K26" s="39" t="str">
        <f t="shared" si="2"/>
        <v>Khá</v>
      </c>
      <c r="L26" s="40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43">
        <v>14.0</v>
      </c>
      <c r="B27" s="51" t="s">
        <v>62</v>
      </c>
      <c r="C27" s="45" t="s">
        <v>63</v>
      </c>
      <c r="D27" s="46" t="s">
        <v>64</v>
      </c>
      <c r="E27" s="47">
        <v>14.0</v>
      </c>
      <c r="F27" s="47">
        <v>20.0</v>
      </c>
      <c r="G27" s="47">
        <v>3.0</v>
      </c>
      <c r="H27" s="47">
        <v>23.0</v>
      </c>
      <c r="I27" s="47">
        <v>0.0</v>
      </c>
      <c r="J27" s="48">
        <f t="shared" si="1"/>
        <v>60</v>
      </c>
      <c r="K27" s="49" t="str">
        <f t="shared" si="2"/>
        <v>Trung bình</v>
      </c>
      <c r="L27" s="50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33">
        <v>15.0</v>
      </c>
      <c r="B28" s="41" t="s">
        <v>65</v>
      </c>
      <c r="C28" s="35" t="s">
        <v>66</v>
      </c>
      <c r="D28" s="36" t="s">
        <v>67</v>
      </c>
      <c r="E28" s="37">
        <v>17.0</v>
      </c>
      <c r="F28" s="37">
        <v>21.0</v>
      </c>
      <c r="G28" s="37">
        <v>12.0</v>
      </c>
      <c r="H28" s="37">
        <v>23.0</v>
      </c>
      <c r="I28" s="37">
        <v>0.0</v>
      </c>
      <c r="J28" s="38">
        <f t="shared" si="1"/>
        <v>73</v>
      </c>
      <c r="K28" s="39" t="str">
        <f t="shared" si="2"/>
        <v>Khá</v>
      </c>
      <c r="L28" s="40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33">
        <v>16.0</v>
      </c>
      <c r="B29" s="41" t="s">
        <v>68</v>
      </c>
      <c r="C29" s="35" t="s">
        <v>69</v>
      </c>
      <c r="D29" s="36" t="s">
        <v>70</v>
      </c>
      <c r="E29" s="37">
        <v>15.5</v>
      </c>
      <c r="F29" s="37">
        <v>22.0</v>
      </c>
      <c r="G29" s="37">
        <v>13.0</v>
      </c>
      <c r="H29" s="37">
        <v>23.0</v>
      </c>
      <c r="I29" s="37">
        <v>3.0</v>
      </c>
      <c r="J29" s="52">
        <f t="shared" si="1"/>
        <v>76.5</v>
      </c>
      <c r="K29" s="39" t="str">
        <f t="shared" si="2"/>
        <v>Khá</v>
      </c>
      <c r="L29" s="40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33">
        <v>17.0</v>
      </c>
      <c r="B30" s="42" t="s">
        <v>71</v>
      </c>
      <c r="C30" s="35" t="s">
        <v>72</v>
      </c>
      <c r="D30" s="36" t="s">
        <v>73</v>
      </c>
      <c r="E30" s="37">
        <v>17.5</v>
      </c>
      <c r="F30" s="37">
        <v>22.0</v>
      </c>
      <c r="G30" s="37">
        <v>11.0</v>
      </c>
      <c r="H30" s="37">
        <v>23.0</v>
      </c>
      <c r="I30" s="37">
        <v>3.0</v>
      </c>
      <c r="J30" s="38">
        <f t="shared" si="1"/>
        <v>76.5</v>
      </c>
      <c r="K30" s="39" t="str">
        <f t="shared" si="2"/>
        <v>Khá</v>
      </c>
      <c r="L30" s="40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33">
        <v>18.0</v>
      </c>
      <c r="B31" s="41" t="s">
        <v>74</v>
      </c>
      <c r="C31" s="35" t="s">
        <v>75</v>
      </c>
      <c r="D31" s="36" t="s">
        <v>76</v>
      </c>
      <c r="E31" s="37">
        <v>17.5</v>
      </c>
      <c r="F31" s="37">
        <v>22.0</v>
      </c>
      <c r="G31" s="37">
        <v>11.0</v>
      </c>
      <c r="H31" s="37">
        <v>23.0</v>
      </c>
      <c r="I31" s="37">
        <v>0.0</v>
      </c>
      <c r="J31" s="38">
        <f t="shared" si="1"/>
        <v>73.5</v>
      </c>
      <c r="K31" s="39" t="str">
        <f t="shared" si="2"/>
        <v>Khá</v>
      </c>
      <c r="L31" s="40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33">
        <v>19.0</v>
      </c>
      <c r="B32" s="41" t="s">
        <v>77</v>
      </c>
      <c r="C32" s="35" t="s">
        <v>78</v>
      </c>
      <c r="D32" s="36" t="s">
        <v>79</v>
      </c>
      <c r="E32" s="37">
        <v>17.5</v>
      </c>
      <c r="F32" s="37">
        <v>22.0</v>
      </c>
      <c r="G32" s="37">
        <v>15.0</v>
      </c>
      <c r="H32" s="37">
        <v>23.0</v>
      </c>
      <c r="I32" s="37">
        <v>3.0</v>
      </c>
      <c r="J32" s="38">
        <f t="shared" si="1"/>
        <v>80.5</v>
      </c>
      <c r="K32" s="39" t="str">
        <f t="shared" si="2"/>
        <v>Tốt</v>
      </c>
      <c r="L32" s="40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43">
        <v>20.0</v>
      </c>
      <c r="B33" s="53" t="s">
        <v>80</v>
      </c>
      <c r="C33" s="45" t="s">
        <v>81</v>
      </c>
      <c r="D33" s="46" t="s">
        <v>82</v>
      </c>
      <c r="E33" s="47">
        <v>17.0</v>
      </c>
      <c r="F33" s="47">
        <v>20.0</v>
      </c>
      <c r="G33" s="47">
        <v>4.0</v>
      </c>
      <c r="H33" s="47">
        <v>23.0</v>
      </c>
      <c r="I33" s="47">
        <v>0.0</v>
      </c>
      <c r="J33" s="48">
        <f t="shared" si="1"/>
        <v>64</v>
      </c>
      <c r="K33" s="49" t="str">
        <f t="shared" si="2"/>
        <v>Trung bình</v>
      </c>
      <c r="L33" s="5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33">
        <v>21.0</v>
      </c>
      <c r="B34" s="41" t="s">
        <v>83</v>
      </c>
      <c r="C34" s="35" t="s">
        <v>84</v>
      </c>
      <c r="D34" s="36" t="s">
        <v>85</v>
      </c>
      <c r="E34" s="37">
        <v>18.0</v>
      </c>
      <c r="F34" s="37">
        <v>23.0</v>
      </c>
      <c r="G34" s="37">
        <v>10.0</v>
      </c>
      <c r="H34" s="37">
        <v>23.0</v>
      </c>
      <c r="I34" s="37">
        <v>0.0</v>
      </c>
      <c r="J34" s="38">
        <f t="shared" si="1"/>
        <v>74</v>
      </c>
      <c r="K34" s="39" t="str">
        <f t="shared" si="2"/>
        <v>Khá</v>
      </c>
      <c r="L34" s="40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33">
        <v>22.0</v>
      </c>
      <c r="B35" s="55" t="s">
        <v>86</v>
      </c>
      <c r="C35" s="35" t="s">
        <v>87</v>
      </c>
      <c r="D35" s="36" t="s">
        <v>88</v>
      </c>
      <c r="E35" s="37"/>
      <c r="F35" s="56"/>
      <c r="G35" s="56"/>
      <c r="H35" s="56"/>
      <c r="I35" s="56"/>
      <c r="J35" s="38">
        <f t="shared" si="1"/>
        <v>0</v>
      </c>
      <c r="K35" s="39" t="str">
        <f t="shared" si="2"/>
        <v>Kém</v>
      </c>
      <c r="L35" s="40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33">
        <v>23.0</v>
      </c>
      <c r="B36" s="55" t="s">
        <v>89</v>
      </c>
      <c r="C36" s="35" t="s">
        <v>90</v>
      </c>
      <c r="D36" s="36" t="s">
        <v>91</v>
      </c>
      <c r="E36" s="37">
        <v>18.0</v>
      </c>
      <c r="F36" s="37">
        <v>25.0</v>
      </c>
      <c r="G36" s="37">
        <v>18.0</v>
      </c>
      <c r="H36" s="37">
        <v>23.0</v>
      </c>
      <c r="I36" s="37">
        <v>7.0</v>
      </c>
      <c r="J36" s="38">
        <f t="shared" si="1"/>
        <v>91</v>
      </c>
      <c r="K36" s="39" t="str">
        <f t="shared" si="2"/>
        <v>Xuất sắc</v>
      </c>
      <c r="L36" s="40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33">
        <v>24.0</v>
      </c>
      <c r="B37" s="57" t="s">
        <v>92</v>
      </c>
      <c r="C37" s="35" t="s">
        <v>93</v>
      </c>
      <c r="D37" s="36" t="s">
        <v>94</v>
      </c>
      <c r="E37" s="37">
        <v>16.0</v>
      </c>
      <c r="F37" s="37">
        <v>20.0</v>
      </c>
      <c r="G37" s="37">
        <v>10.0</v>
      </c>
      <c r="H37" s="37">
        <v>23.0</v>
      </c>
      <c r="I37" s="37">
        <v>0.0</v>
      </c>
      <c r="J37" s="58">
        <f t="shared" si="1"/>
        <v>69</v>
      </c>
      <c r="K37" s="39" t="str">
        <f t="shared" si="2"/>
        <v>Khá</v>
      </c>
      <c r="L37" s="59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33">
        <v>25.0</v>
      </c>
      <c r="B38" s="41" t="s">
        <v>95</v>
      </c>
      <c r="C38" s="35" t="s">
        <v>93</v>
      </c>
      <c r="D38" s="36" t="s">
        <v>96</v>
      </c>
      <c r="E38" s="37">
        <v>18.0</v>
      </c>
      <c r="F38" s="37">
        <v>23.0</v>
      </c>
      <c r="G38" s="37">
        <v>12.0</v>
      </c>
      <c r="H38" s="37">
        <v>23.0</v>
      </c>
      <c r="I38" s="37">
        <v>3.0</v>
      </c>
      <c r="J38" s="38">
        <f t="shared" si="1"/>
        <v>79</v>
      </c>
      <c r="K38" s="39" t="str">
        <f t="shared" si="2"/>
        <v>Khá</v>
      </c>
      <c r="L38" s="40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43">
        <v>26.0</v>
      </c>
      <c r="B39" s="44" t="s">
        <v>97</v>
      </c>
      <c r="C39" s="45" t="s">
        <v>98</v>
      </c>
      <c r="D39" s="46" t="s">
        <v>99</v>
      </c>
      <c r="E39" s="47">
        <v>14.0</v>
      </c>
      <c r="F39" s="47">
        <v>20.0</v>
      </c>
      <c r="G39" s="47">
        <v>7.0</v>
      </c>
      <c r="H39" s="47">
        <v>23.0</v>
      </c>
      <c r="I39" s="47">
        <v>0.0</v>
      </c>
      <c r="J39" s="48">
        <f t="shared" si="1"/>
        <v>64</v>
      </c>
      <c r="K39" s="49" t="str">
        <f t="shared" si="2"/>
        <v>Trung bình</v>
      </c>
      <c r="L39" s="5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43">
        <v>27.0</v>
      </c>
      <c r="B40" s="44" t="s">
        <v>100</v>
      </c>
      <c r="C40" s="45" t="s">
        <v>101</v>
      </c>
      <c r="D40" s="46" t="s">
        <v>102</v>
      </c>
      <c r="E40" s="47">
        <v>14.0</v>
      </c>
      <c r="F40" s="47">
        <v>20.0</v>
      </c>
      <c r="G40" s="47">
        <v>5.0</v>
      </c>
      <c r="H40" s="47">
        <v>23.0</v>
      </c>
      <c r="I40" s="47">
        <v>0.0</v>
      </c>
      <c r="J40" s="48">
        <f t="shared" si="1"/>
        <v>62</v>
      </c>
      <c r="K40" s="49" t="str">
        <f t="shared" si="2"/>
        <v>Trung bình</v>
      </c>
      <c r="L40" s="50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33">
        <v>28.0</v>
      </c>
      <c r="B41" s="41" t="s">
        <v>103</v>
      </c>
      <c r="C41" s="35" t="s">
        <v>104</v>
      </c>
      <c r="D41" s="36" t="s">
        <v>105</v>
      </c>
      <c r="E41" s="37">
        <v>16.0</v>
      </c>
      <c r="F41" s="37">
        <v>25.0</v>
      </c>
      <c r="G41" s="37">
        <v>16.0</v>
      </c>
      <c r="H41" s="37">
        <v>23.0</v>
      </c>
      <c r="I41" s="37">
        <v>0.0</v>
      </c>
      <c r="J41" s="38">
        <f t="shared" si="1"/>
        <v>80</v>
      </c>
      <c r="K41" s="39" t="str">
        <f t="shared" si="2"/>
        <v>Tốt</v>
      </c>
      <c r="L41" s="40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33">
        <v>29.0</v>
      </c>
      <c r="B42" s="41" t="s">
        <v>106</v>
      </c>
      <c r="C42" s="35" t="s">
        <v>107</v>
      </c>
      <c r="D42" s="36" t="s">
        <v>108</v>
      </c>
      <c r="E42" s="37"/>
      <c r="F42" s="56"/>
      <c r="G42" s="56"/>
      <c r="H42" s="56"/>
      <c r="I42" s="56"/>
      <c r="J42" s="38">
        <f t="shared" si="1"/>
        <v>0</v>
      </c>
      <c r="K42" s="39" t="str">
        <f t="shared" si="2"/>
        <v>Kém</v>
      </c>
      <c r="L42" s="40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33">
        <v>30.0</v>
      </c>
      <c r="B43" s="41" t="s">
        <v>109</v>
      </c>
      <c r="C43" s="35" t="s">
        <v>28</v>
      </c>
      <c r="D43" s="36" t="s">
        <v>110</v>
      </c>
      <c r="E43" s="37">
        <v>18.0</v>
      </c>
      <c r="F43" s="37">
        <v>25.0</v>
      </c>
      <c r="G43" s="37">
        <v>16.0</v>
      </c>
      <c r="H43" s="37">
        <v>23.0</v>
      </c>
      <c r="I43" s="37">
        <v>0.0</v>
      </c>
      <c r="J43" s="38">
        <f t="shared" si="1"/>
        <v>82</v>
      </c>
      <c r="K43" s="39" t="str">
        <f t="shared" si="2"/>
        <v>Tốt</v>
      </c>
      <c r="L43" s="40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33">
        <v>31.0</v>
      </c>
      <c r="B44" s="41" t="s">
        <v>111</v>
      </c>
      <c r="C44" s="35" t="s">
        <v>112</v>
      </c>
      <c r="D44" s="36" t="s">
        <v>113</v>
      </c>
      <c r="E44" s="37">
        <v>16.0</v>
      </c>
      <c r="F44" s="37">
        <v>21.0</v>
      </c>
      <c r="G44" s="37">
        <v>13.0</v>
      </c>
      <c r="H44" s="37">
        <v>23.0</v>
      </c>
      <c r="I44" s="37">
        <v>0.0</v>
      </c>
      <c r="J44" s="38">
        <f t="shared" si="1"/>
        <v>73</v>
      </c>
      <c r="K44" s="39" t="str">
        <f t="shared" si="2"/>
        <v>Khá</v>
      </c>
      <c r="L44" s="40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33">
        <v>32.0</v>
      </c>
      <c r="B45" s="41" t="s">
        <v>114</v>
      </c>
      <c r="C45" s="35" t="s">
        <v>115</v>
      </c>
      <c r="D45" s="36" t="s">
        <v>116</v>
      </c>
      <c r="E45" s="37">
        <v>15.0</v>
      </c>
      <c r="F45" s="37">
        <v>20.0</v>
      </c>
      <c r="G45" s="37">
        <v>11.0</v>
      </c>
      <c r="H45" s="37">
        <v>23.0</v>
      </c>
      <c r="I45" s="37">
        <v>0.0</v>
      </c>
      <c r="J45" s="38">
        <f t="shared" si="1"/>
        <v>69</v>
      </c>
      <c r="K45" s="39" t="str">
        <f t="shared" si="2"/>
        <v>Khá</v>
      </c>
      <c r="L45" s="40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33">
        <v>33.0</v>
      </c>
      <c r="B46" s="41" t="s">
        <v>117</v>
      </c>
      <c r="C46" s="35" t="s">
        <v>118</v>
      </c>
      <c r="D46" s="36" t="s">
        <v>119</v>
      </c>
      <c r="E46" s="37">
        <v>17.5</v>
      </c>
      <c r="F46" s="37">
        <v>23.0</v>
      </c>
      <c r="G46" s="37">
        <v>15.0</v>
      </c>
      <c r="H46" s="37">
        <v>23.0</v>
      </c>
      <c r="I46" s="37">
        <v>4.0</v>
      </c>
      <c r="J46" s="38">
        <f t="shared" si="1"/>
        <v>82.5</v>
      </c>
      <c r="K46" s="39" t="str">
        <f t="shared" si="2"/>
        <v>Tốt</v>
      </c>
      <c r="L46" s="40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43">
        <v>34.0</v>
      </c>
      <c r="B47" s="44" t="s">
        <v>120</v>
      </c>
      <c r="C47" s="45" t="s">
        <v>60</v>
      </c>
      <c r="D47" s="46" t="s">
        <v>121</v>
      </c>
      <c r="E47" s="47">
        <v>15.0</v>
      </c>
      <c r="F47" s="47">
        <v>19.0</v>
      </c>
      <c r="G47" s="47">
        <v>7.0</v>
      </c>
      <c r="H47" s="47">
        <v>23.0</v>
      </c>
      <c r="I47" s="47">
        <v>0.0</v>
      </c>
      <c r="J47" s="48">
        <f t="shared" si="1"/>
        <v>64</v>
      </c>
      <c r="K47" s="49" t="str">
        <f t="shared" si="2"/>
        <v>Trung bình</v>
      </c>
      <c r="L47" s="50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33">
        <v>35.0</v>
      </c>
      <c r="B48" s="55" t="s">
        <v>122</v>
      </c>
      <c r="C48" s="35" t="s">
        <v>72</v>
      </c>
      <c r="D48" s="36" t="s">
        <v>123</v>
      </c>
      <c r="E48" s="37">
        <v>17.0</v>
      </c>
      <c r="F48" s="37">
        <v>22.0</v>
      </c>
      <c r="G48" s="37">
        <v>8.0</v>
      </c>
      <c r="H48" s="37">
        <v>23.0</v>
      </c>
      <c r="I48" s="37">
        <v>0.0</v>
      </c>
      <c r="J48" s="38">
        <f t="shared" si="1"/>
        <v>70</v>
      </c>
      <c r="K48" s="39" t="str">
        <f t="shared" si="2"/>
        <v>Khá</v>
      </c>
      <c r="L48" s="40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33">
        <v>36.0</v>
      </c>
      <c r="B49" s="41" t="s">
        <v>124</v>
      </c>
      <c r="C49" s="35" t="s">
        <v>125</v>
      </c>
      <c r="D49" s="36" t="s">
        <v>126</v>
      </c>
      <c r="E49" s="37">
        <v>16.0</v>
      </c>
      <c r="F49" s="37">
        <v>22.0</v>
      </c>
      <c r="G49" s="37">
        <v>16.0</v>
      </c>
      <c r="H49" s="37">
        <v>23.0</v>
      </c>
      <c r="I49" s="37">
        <v>4.0</v>
      </c>
      <c r="J49" s="38">
        <f t="shared" si="1"/>
        <v>81</v>
      </c>
      <c r="K49" s="39" t="str">
        <f t="shared" si="2"/>
        <v>Tốt</v>
      </c>
      <c r="L49" s="40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60">
        <v>37.0</v>
      </c>
      <c r="B50" s="61" t="s">
        <v>127</v>
      </c>
      <c r="C50" s="62" t="s">
        <v>101</v>
      </c>
      <c r="D50" s="63" t="s">
        <v>128</v>
      </c>
      <c r="E50" s="64">
        <v>17.0</v>
      </c>
      <c r="F50" s="64">
        <v>23.0</v>
      </c>
      <c r="G50" s="64">
        <v>16.0</v>
      </c>
      <c r="H50" s="64">
        <v>23.0</v>
      </c>
      <c r="I50" s="64">
        <v>7.0</v>
      </c>
      <c r="J50" s="65">
        <f t="shared" si="1"/>
        <v>86</v>
      </c>
      <c r="K50" s="66" t="str">
        <f t="shared" si="2"/>
        <v>Tốt</v>
      </c>
      <c r="L50" s="67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6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69"/>
      <c r="B52" s="70" t="s">
        <v>129</v>
      </c>
      <c r="C52" s="69">
        <f>COUNTA($K$14:$K$50)</f>
        <v>37</v>
      </c>
      <c r="D52" s="69" t="s">
        <v>130</v>
      </c>
      <c r="E52" s="69"/>
      <c r="F52" s="69"/>
      <c r="G52" s="69"/>
      <c r="H52" s="69"/>
      <c r="I52" s="69"/>
      <c r="J52" s="69"/>
      <c r="K52" s="71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5.75" customHeight="1">
      <c r="A53" s="69" t="s">
        <v>131</v>
      </c>
      <c r="B53" s="70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22.5" customHeight="1">
      <c r="A54" s="68"/>
      <c r="B54" s="69"/>
      <c r="C54" s="72" t="s">
        <v>132</v>
      </c>
      <c r="G54" s="3"/>
      <c r="H54" s="69">
        <f>COUNTIF($K$14:$K$50,"Xuất sắc")</f>
        <v>1</v>
      </c>
      <c r="I54" s="69" t="s">
        <v>133</v>
      </c>
      <c r="J54" s="73">
        <f t="shared" ref="J54:J59" si="3">H54/$C$52%</f>
        <v>2.702702703</v>
      </c>
      <c r="K54" s="69" t="s">
        <v>134</v>
      </c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5.75" customHeight="1">
      <c r="A55" s="68"/>
      <c r="B55" s="69"/>
      <c r="C55" s="72" t="s">
        <v>135</v>
      </c>
      <c r="G55" s="3"/>
      <c r="H55" s="69">
        <f>COUNTIF($K$14:$K$50,"Tốt")</f>
        <v>12</v>
      </c>
      <c r="I55" s="69" t="s">
        <v>133</v>
      </c>
      <c r="J55" s="73">
        <f t="shared" si="3"/>
        <v>32.43243243</v>
      </c>
      <c r="K55" s="69" t="s">
        <v>134</v>
      </c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5.75" customHeight="1">
      <c r="A56" s="68"/>
      <c r="B56" s="69"/>
      <c r="C56" s="72" t="s">
        <v>136</v>
      </c>
      <c r="G56" s="3"/>
      <c r="H56" s="69">
        <f>COUNTIF($K$14:$K$50,"Khá")</f>
        <v>15</v>
      </c>
      <c r="I56" s="69" t="s">
        <v>133</v>
      </c>
      <c r="J56" s="73">
        <f t="shared" si="3"/>
        <v>40.54054054</v>
      </c>
      <c r="K56" s="69" t="s">
        <v>134</v>
      </c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5.75" customHeight="1">
      <c r="A57" s="68"/>
      <c r="B57" s="69"/>
      <c r="C57" s="72" t="s">
        <v>137</v>
      </c>
      <c r="H57" s="69">
        <f>COUNTIF($K$14:$K$50,"Trung bình")</f>
        <v>7</v>
      </c>
      <c r="I57" s="69" t="s">
        <v>133</v>
      </c>
      <c r="J57" s="73">
        <f t="shared" si="3"/>
        <v>18.91891892</v>
      </c>
      <c r="K57" s="69" t="s">
        <v>134</v>
      </c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5.75" customHeight="1">
      <c r="A58" s="68"/>
      <c r="B58" s="69"/>
      <c r="C58" s="72" t="s">
        <v>138</v>
      </c>
      <c r="D58" s="72"/>
      <c r="E58" s="72"/>
      <c r="F58" s="72"/>
      <c r="G58" s="3"/>
      <c r="H58" s="69">
        <f>COUNTIF($K$14:$K$50,"Yếu")</f>
        <v>0</v>
      </c>
      <c r="I58" s="69" t="s">
        <v>133</v>
      </c>
      <c r="J58" s="73">
        <f t="shared" si="3"/>
        <v>0</v>
      </c>
      <c r="K58" s="69" t="s">
        <v>134</v>
      </c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5.75" customHeight="1">
      <c r="A59" s="68"/>
      <c r="B59" s="69"/>
      <c r="C59" s="72" t="s">
        <v>139</v>
      </c>
      <c r="D59" s="72"/>
      <c r="E59" s="72"/>
      <c r="F59" s="72"/>
      <c r="G59" s="3"/>
      <c r="H59" s="69">
        <f>COUNTIF($K$14:$K$50,"Kém")</f>
        <v>2</v>
      </c>
      <c r="I59" s="69" t="s">
        <v>133</v>
      </c>
      <c r="J59" s="73">
        <f t="shared" si="3"/>
        <v>5.405405405</v>
      </c>
      <c r="K59" s="69" t="s">
        <v>134</v>
      </c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5.75" customHeight="1">
      <c r="A60" s="6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7.25" customHeight="1">
      <c r="A61" s="7" t="s">
        <v>140</v>
      </c>
      <c r="D61" s="3"/>
      <c r="E61" s="7" t="s">
        <v>141</v>
      </c>
      <c r="I61" s="7" t="s">
        <v>142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.75" customHeight="1">
      <c r="A62" s="3"/>
      <c r="B62" s="74"/>
      <c r="C62" s="74"/>
      <c r="D62" s="3"/>
      <c r="E62" s="75" t="s">
        <v>143</v>
      </c>
      <c r="I62" s="75" t="s">
        <v>143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6" t="s">
        <v>144</v>
      </c>
      <c r="D67" s="3"/>
      <c r="E67" s="76" t="s">
        <v>145</v>
      </c>
      <c r="I67" s="76" t="s">
        <v>146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</sheetData>
  <mergeCells count="25">
    <mergeCell ref="B1:D1"/>
    <mergeCell ref="A2:F2"/>
    <mergeCell ref="G2:L2"/>
    <mergeCell ref="A3:F3"/>
    <mergeCell ref="G3:L3"/>
    <mergeCell ref="F5:L5"/>
    <mergeCell ref="A7:L7"/>
    <mergeCell ref="A12:A13"/>
    <mergeCell ref="B12:C13"/>
    <mergeCell ref="D12:D13"/>
    <mergeCell ref="E12:J12"/>
    <mergeCell ref="K12:K13"/>
    <mergeCell ref="L12:L13"/>
    <mergeCell ref="C54:F54"/>
    <mergeCell ref="A61:C61"/>
    <mergeCell ref="A67:C67"/>
    <mergeCell ref="E67:H67"/>
    <mergeCell ref="I67:L67"/>
    <mergeCell ref="C55:F55"/>
    <mergeCell ref="C56:F56"/>
    <mergeCell ref="C57:G57"/>
    <mergeCell ref="E61:H61"/>
    <mergeCell ref="I61:L61"/>
    <mergeCell ref="E62:H62"/>
    <mergeCell ref="I62:L62"/>
  </mergeCells>
  <printOptions/>
  <pageMargins bottom="0.34" footer="0.0" header="0.0" left="0.17" right="0.17" top="0.4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2015-01-26T01:45:45Z</dcterms:created>
  <dc:creator>WindowsXP Professional SP3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1f885be4-1fe0-4843-b09a-5245f2d967e0</vt:lpwstr>
  </property>
</Properties>
</file>