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u 2" sheetId="1" state="visible" r:id="rId1"/>
  </sheets>
  <definedNames>
    <definedName name="OLE_LINK1" localSheetId="0">'Mau 2'!#REF!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color theme="1"/>
      <sz val="11"/>
      <scheme val="minor"/>
    </font>
    <font>
      <name val="Times New Roman"/>
      <color theme="1"/>
      <sz val="10"/>
    </font>
    <font>
      <name val="Times New Roman"/>
      <b val="1"/>
      <color theme="1"/>
      <sz val="12"/>
      <u val="single"/>
    </font>
    <font>
      <name val="Calibri"/>
      <color theme="1"/>
      <sz val="11"/>
    </font>
    <font>
      <name val="Times New Roman"/>
      <b val="1"/>
      <color theme="1"/>
      <sz val="12"/>
    </font>
    <font>
      <name val="Times New Roman"/>
      <color theme="1"/>
      <sz val="12"/>
    </font>
    <font>
      <name val="Times New Roman"/>
      <color theme="1"/>
      <sz val="11"/>
    </font>
    <font>
      <name val="Times New Roman"/>
      <i val="1"/>
      <color theme="1"/>
      <sz val="11"/>
    </font>
    <font>
      <name val="Times New Roman"/>
      <b val="1"/>
      <color theme="1"/>
      <sz val="15"/>
    </font>
    <font>
      <name val="Times New Roman"/>
      <b val="1"/>
      <i val="1"/>
      <color theme="1"/>
      <sz val="12"/>
    </font>
    <font>
      <name val="Times New Roman"/>
      <color rgb="FFFF0000"/>
      <sz val="12"/>
    </font>
    <font>
      <name val="Times New Roman"/>
      <b val="1"/>
      <color theme="1"/>
      <sz val="11"/>
    </font>
    <font/>
    <font>
      <name val="Times New Roman"/>
      <i val="1"/>
      <color theme="1"/>
      <sz val="10"/>
    </font>
    <font>
      <name val="Times New Roman"/>
      <b val="1"/>
      <i val="1"/>
      <color theme="1"/>
      <sz val="8"/>
    </font>
    <font>
      <name val="Times New Roman"/>
      <b val="1"/>
      <i val="1"/>
      <color theme="1"/>
      <sz val="11"/>
    </font>
    <font>
      <name val="Times New Roman"/>
      <i val="1"/>
      <color theme="1"/>
      <sz val="9"/>
    </font>
    <font>
      <name val="Times New Roman"/>
      <i val="1"/>
      <color theme="1"/>
      <sz val="8"/>
    </font>
    <font>
      <name val="Times New Roman"/>
      <i val="1"/>
      <color theme="1"/>
      <sz val="12"/>
    </font>
  </fonts>
  <fills count="2">
    <fill>
      <patternFill/>
    </fill>
    <fill>
      <patternFill patternType="lightGray"/>
    </fill>
  </fills>
  <borders count="36">
    <border/>
    <border>
      <bottom style="double">
        <color rgb="FF000000"/>
      </bottom>
    </border>
    <border>
      <left style="double">
        <color rgb="FF000000"/>
      </left>
      <right style="medium">
        <color rgb="FF000000"/>
      </right>
      <top style="double">
        <color rgb="FF000000"/>
      </top>
    </border>
    <border>
      <left style="medium">
        <color rgb="FF000000"/>
      </left>
      <top style="double">
        <color rgb="FF000000"/>
      </top>
    </border>
    <border>
      <right style="medium">
        <color rgb="FF000000"/>
      </right>
      <top style="double">
        <color rgb="FF000000"/>
      </top>
    </border>
    <border>
      <left style="medium">
        <color rgb="FF000000"/>
      </left>
      <right style="medium">
        <color rgb="FF000000"/>
      </right>
      <top style="double">
        <color rgb="FF000000"/>
      </top>
    </border>
    <border>
      <left style="medium">
        <color rgb="FF000000"/>
      </left>
      <top style="double">
        <color rgb="FF000000"/>
      </top>
      <bottom style="medium">
        <color rgb="FF000000"/>
      </bottom>
    </border>
    <border>
      <top style="double">
        <color rgb="FF000000"/>
      </top>
      <bottom style="medium">
        <color rgb="FF000000"/>
      </bottom>
    </border>
    <border>
      <right style="medium">
        <color rgb="FF000000"/>
      </right>
      <top style="double">
        <color rgb="FF000000"/>
      </top>
      <bottom style="medium">
        <color rgb="FF000000"/>
      </bottom>
    </border>
    <border>
      <right style="double">
        <color rgb="FF000000"/>
      </right>
      <top style="double">
        <color rgb="FF000000"/>
      </top>
    </border>
    <border>
      <left style="double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double">
        <color rgb="FF000000"/>
      </right>
      <bottom style="medium">
        <color rgb="FF000000"/>
      </bottom>
    </border>
    <border>
      <left style="double">
        <color rgb="FF000000"/>
      </left>
      <right style="medium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medium">
        <color rgb="FF000000"/>
      </right>
      <bottom style="dotted">
        <color rgb="FF000000"/>
      </bottom>
    </border>
    <border>
      <left style="medium">
        <color rgb="FF000000"/>
      </left>
      <right style="medium">
        <color rgb="FF000000"/>
      </right>
      <bottom style="dotted">
        <color rgb="FF000000"/>
      </bottom>
    </border>
    <border>
      <right style="double">
        <color rgb="FF000000"/>
      </right>
      <bottom style="dotted">
        <color rgb="FF000000"/>
      </bottom>
    </border>
    <border>
      <left style="double">
        <color rgb="FF000000"/>
      </left>
      <right style="medium">
        <color rgb="FF000000"/>
      </right>
      <top style="dotted">
        <color rgb="FF000000"/>
      </top>
      <bottom style="double">
        <color rgb="FF000000"/>
      </bottom>
    </border>
    <border>
      <right style="dotted">
        <color rgb="FF000000"/>
      </right>
      <bottom style="double">
        <color rgb="FF000000"/>
      </bottom>
    </border>
    <border>
      <right style="medium">
        <color rgb="FF000000"/>
      </right>
      <bottom style="double">
        <color rgb="FF000000"/>
      </bottom>
    </border>
    <border>
      <left style="medium">
        <color rgb="FF000000"/>
      </left>
      <right style="medium">
        <color rgb="FF000000"/>
      </right>
      <top style="dotted">
        <color rgb="FF000000"/>
      </top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left style="double">
        <color rgb="FF000000"/>
      </left>
      <right style="medium">
        <color rgb="FF000000"/>
      </right>
      <top style="double">
        <color rgb="FF000000"/>
      </top>
      <bottom style="medium">
        <color rgb="FF000000"/>
      </bottom>
    </border>
    <border>
      <left style="double">
        <color rgb="FF000000"/>
      </left>
    </border>
    <border>
      <left style="double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</border>
    <border>
      <top style="double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</border>
    <border>
      <right style="double">
        <color rgb="FF000000"/>
      </right>
      <top style="double">
        <color rgb="FF000000"/>
      </top>
      <bottom style="medium">
        <color rgb="FF000000"/>
      </bottom>
    </border>
    <border>
      <right style="double">
        <color rgb="FF000000"/>
      </right>
    </border>
  </borders>
  <cellStyleXfs count="1">
    <xf numFmtId="0" fontId="0" fillId="0" borderId="0"/>
  </cellStyleXfs>
  <cellXfs count="8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5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11" fillId="0" borderId="2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4" pivotButton="0" quotePrefix="0" xfId="0"/>
    <xf numFmtId="0" fontId="11" fillId="0" borderId="5" applyAlignment="1" pivotButton="0" quotePrefix="0" xfId="0">
      <alignment horizontal="center" vertical="top" wrapText="1"/>
    </xf>
    <xf numFmtId="0" fontId="11" fillId="0" borderId="6" applyAlignment="1" pivotButton="0" quotePrefix="0" xfId="0">
      <alignment horizontal="center" vertical="top" wrapText="1"/>
    </xf>
    <xf numFmtId="0" fontId="12" fillId="0" borderId="7" pivotButton="0" quotePrefix="0" xfId="0"/>
    <xf numFmtId="0" fontId="12" fillId="0" borderId="8" pivotButton="0" quotePrefix="0" xfId="0"/>
    <xf numFmtId="0" fontId="11" fillId="0" borderId="9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top"/>
    </xf>
    <xf numFmtId="0" fontId="12" fillId="0" borderId="10" pivotButton="0" quotePrefix="0" xfId="0"/>
    <xf numFmtId="0" fontId="12" fillId="0" borderId="11" pivotButton="0" quotePrefix="0" xfId="0"/>
    <xf numFmtId="0" fontId="12" fillId="0" borderId="12" pivotButton="0" quotePrefix="0" xfId="0"/>
    <xf numFmtId="0" fontId="12" fillId="0" borderId="13" pivotButton="0" quotePrefix="0" xfId="0"/>
    <xf numFmtId="0" fontId="4" fillId="0" borderId="12" applyAlignment="1" pivotButton="0" quotePrefix="0" xfId="0">
      <alignment horizontal="center" vertical="top" wrapText="1"/>
    </xf>
    <xf numFmtId="0" fontId="4" fillId="0" borderId="14" applyAlignment="1" pivotButton="0" quotePrefix="0" xfId="0">
      <alignment horizontal="center" vertical="top" wrapText="1"/>
    </xf>
    <xf numFmtId="0" fontId="11" fillId="0" borderId="14" applyAlignment="1" pivotButton="0" quotePrefix="0" xfId="0">
      <alignment horizontal="center" vertical="top" wrapText="1"/>
    </xf>
    <xf numFmtId="0" fontId="12" fillId="0" borderId="15" pivotButton="0" quotePrefix="0" xfId="0"/>
    <xf numFmtId="0" fontId="1" fillId="0" borderId="16" applyAlignment="1" pivotButton="0" quotePrefix="0" xfId="0">
      <alignment horizontal="center" vertical="top" wrapText="1"/>
    </xf>
    <xf numFmtId="0" fontId="13" fillId="0" borderId="17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 vertical="center" wrapText="1"/>
    </xf>
    <xf numFmtId="0" fontId="14" fillId="0" borderId="18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 vertical="top" wrapText="1"/>
    </xf>
    <xf numFmtId="0" fontId="15" fillId="0" borderId="18" applyAlignment="1" pivotButton="0" quotePrefix="0" xfId="0">
      <alignment horizontal="center" vertical="top" wrapText="1"/>
    </xf>
    <xf numFmtId="0" fontId="16" fillId="0" borderId="19" applyAlignment="1" pivotButton="0" quotePrefix="0" xfId="0">
      <alignment horizontal="center" vertical="top" wrapText="1"/>
    </xf>
    <xf numFmtId="0" fontId="6" fillId="0" borderId="20" applyAlignment="1" pivotButton="0" quotePrefix="0" xfId="0">
      <alignment horizontal="center" vertical="top" wrapText="1"/>
    </xf>
    <xf numFmtId="0" fontId="7" fillId="0" borderId="17" applyAlignment="1" pivotButton="0" quotePrefix="0" xfId="0">
      <alignment horizontal="center" vertical="center" wrapText="1"/>
    </xf>
    <xf numFmtId="0" fontId="16" fillId="0" borderId="17" applyAlignment="1" pivotButton="0" quotePrefix="0" xfId="0">
      <alignment horizontal="center" vertical="center" wrapText="1"/>
    </xf>
    <xf numFmtId="0" fontId="11" fillId="0" borderId="18" applyAlignment="1" pivotButton="0" quotePrefix="0" xfId="0">
      <alignment horizontal="center" vertical="top" wrapText="1"/>
    </xf>
    <xf numFmtId="0" fontId="1" fillId="0" borderId="17" applyAlignment="1" pivotButton="0" quotePrefix="0" xfId="0">
      <alignment horizontal="center" vertical="center" wrapText="1"/>
    </xf>
    <xf numFmtId="0" fontId="15" fillId="0" borderId="20" applyAlignment="1" pivotButton="0" quotePrefix="0" xfId="0">
      <alignment horizontal="center" vertical="top" wrapText="1"/>
    </xf>
    <xf numFmtId="0" fontId="17" fillId="0" borderId="17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top" wrapText="1"/>
    </xf>
    <xf numFmtId="0" fontId="6" fillId="0" borderId="17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center" vertical="top" wrapText="1"/>
    </xf>
    <xf numFmtId="0" fontId="11" fillId="0" borderId="20" applyAlignment="1" pivotButton="0" quotePrefix="0" xfId="0">
      <alignment horizontal="center" vertical="top" wrapText="1"/>
    </xf>
    <xf numFmtId="0" fontId="1" fillId="0" borderId="21" applyAlignment="1" pivotButton="0" quotePrefix="0" xfId="0">
      <alignment horizontal="center" vertical="center" wrapText="1"/>
    </xf>
    <xf numFmtId="0" fontId="17" fillId="0" borderId="22" applyAlignment="1" pivotButton="0" quotePrefix="0" xfId="0">
      <alignment horizontal="center" vertical="center" wrapText="1"/>
    </xf>
    <xf numFmtId="0" fontId="6" fillId="0" borderId="23" applyAlignment="1" pivotButton="0" quotePrefix="0" xfId="0">
      <alignment horizontal="center" vertical="center" wrapText="1"/>
    </xf>
    <xf numFmtId="0" fontId="14" fillId="0" borderId="23" applyAlignment="1" pivotButton="0" quotePrefix="0" xfId="0">
      <alignment horizontal="center" vertical="center" wrapText="1"/>
    </xf>
    <xf numFmtId="0" fontId="6" fillId="0" borderId="23" applyAlignment="1" pivotButton="0" quotePrefix="0" xfId="0">
      <alignment horizontal="center" vertical="top" wrapText="1"/>
    </xf>
    <xf numFmtId="0" fontId="15" fillId="0" borderId="24" applyAlignment="1" pivotButton="0" quotePrefix="0" xfId="0">
      <alignment horizontal="center" vertical="top" wrapText="1"/>
    </xf>
    <xf numFmtId="0" fontId="16" fillId="0" borderId="24" applyAlignment="1" pivotButton="0" quotePrefix="0" xfId="0">
      <alignment horizontal="center" vertical="top" wrapText="1"/>
    </xf>
    <xf numFmtId="0" fontId="6" fillId="0" borderId="25" applyAlignment="1" pivotButton="0" quotePrefix="0" xfId="0">
      <alignment horizontal="center" vertical="top" wrapText="1"/>
    </xf>
    <xf numFmtId="0" fontId="11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right" vertical="top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2" fontId="6" fillId="0" borderId="0" applyAlignment="1" pivotButton="0" quotePrefix="0" xfId="0">
      <alignment horizontal="right"/>
    </xf>
    <xf numFmtId="0" fontId="18" fillId="0" borderId="0" applyAlignment="1" pivotButton="0" quotePrefix="0" xfId="0">
      <alignment vertical="top" wrapText="1"/>
    </xf>
    <xf numFmtId="0" fontId="18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1" fillId="0" borderId="26" applyAlignment="1" pivotButton="0" quotePrefix="0" xfId="0">
      <alignment horizontal="center" vertical="top" wrapText="1"/>
    </xf>
    <xf numFmtId="0" fontId="11" fillId="0" borderId="29" applyAlignment="1" pivotButton="0" quotePrefix="0" xfId="0">
      <alignment horizontal="center" vertical="top" wrapText="1"/>
    </xf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11" fillId="0" borderId="34" applyAlignment="1" pivotButton="0" quotePrefix="0" xfId="0">
      <alignment horizontal="center" vertical="top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selection activeCell="A1" sqref="A1"/>
    </sheetView>
  </sheetViews>
  <sheetFormatPr baseColWidth="8" defaultColWidth="14.43" defaultRowHeight="15" customHeight="1"/>
  <cols>
    <col width="4.86" customWidth="1" style="68" min="1" max="1"/>
    <col width="15" customWidth="1" style="68" min="2" max="2"/>
    <col width="7.71" customWidth="1" style="68" min="3" max="3"/>
    <col width="10.71" customWidth="1" style="68" min="4" max="4"/>
    <col width="9.140000000000001" customWidth="1" style="68" min="5" max="10"/>
    <col width="9.859999999999999" customWidth="1" style="68" min="11" max="11"/>
    <col width="7.57" customWidth="1" style="68" min="12" max="12"/>
    <col width="8.710000000000001" customWidth="1" style="68" min="13" max="26"/>
  </cols>
  <sheetData>
    <row r="1" ht="31.5" customHeight="1" s="68">
      <c r="A1" s="1" t="n"/>
      <c r="B1" s="2" t="inlineStr">
        <is>
          <t>Mẫu 2: Tổng hợp KQRL</t>
        </is>
      </c>
      <c r="E1" s="3" t="n"/>
      <c r="F1" s="3" t="n"/>
      <c r="G1" s="3" t="n"/>
      <c r="H1" s="4" t="n"/>
      <c r="I1" s="4" t="n"/>
      <c r="J1" s="4" t="n"/>
      <c r="K1" s="4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6.5" customHeight="1" s="68">
      <c r="A2" s="5" t="inlineStr">
        <is>
          <t>HỌC VIỆN CÔNG NGHỆ BƯU CHÍNH VIỄN THÔNG</t>
        </is>
      </c>
      <c r="G2" s="6" t="inlineStr">
        <is>
          <t>CỘNG HOÀ XÃ HỘI CHỦ NGHĨA VIỆT NAM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1" customHeight="1" s="68">
      <c r="A3" s="7" t="inlineStr">
        <is>
          <t>HỌC VIỆN CNBCVT CƠ SỞ TẠI TP HỒ CHÍ MINH</t>
        </is>
      </c>
      <c r="G3" s="7" t="inlineStr">
        <is>
          <t>Độc lập - Tự do - Hạnh phúc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n"/>
      <c r="B4" s="9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21" customHeight="1" s="68">
      <c r="A5" s="8" t="n"/>
      <c r="B5" s="3" t="n"/>
      <c r="C5" s="3" t="n"/>
      <c r="D5" s="3" t="n"/>
      <c r="E5" s="3" t="n"/>
      <c r="F5" s="10" t="inlineStr">
        <is>
          <t>Tp. Hồ Chí Minh, ngày  1   tháng  8   năm 2026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8.25" customHeight="1" s="68">
      <c r="A6" s="11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11" t="inlineStr">
        <is>
          <t>TỔNG HỢP KẾT QUẢ RÈN LUYỆN CỦA SINH VIÊN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1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19.5" customHeight="1" s="68">
      <c r="A9" s="13" t="inlineStr">
        <is>
          <t>Lớp: ........................</t>
        </is>
      </c>
      <c r="B9" s="13" t="inlineStr">
        <is>
          <t>E25CQCE02-N</t>
        </is>
      </c>
      <c r="C9" s="13" t="n"/>
      <c r="D9" s="13" t="n"/>
      <c r="E9" s="13" t="n"/>
      <c r="F9" s="13" t="inlineStr">
        <is>
          <t>Khoa: Công nghệ thông tin 2</t>
        </is>
      </c>
      <c r="G9" s="13" t="n"/>
      <c r="H9" s="13" t="n"/>
      <c r="I9" s="13" t="n"/>
      <c r="J9" s="13" t="n"/>
      <c r="K9" s="13" t="n"/>
      <c r="L9" s="1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68">
      <c r="A10" s="14" t="inlineStr">
        <is>
          <t>Học kỳ: II</t>
        </is>
      </c>
      <c r="B10" s="13" t="n"/>
      <c r="C10" s="13" t="n"/>
      <c r="D10" s="13" t="n"/>
      <c r="E10" s="13" t="n"/>
      <c r="F10" s="13" t="inlineStr">
        <is>
          <t>Năm học: 2025- 2026</t>
        </is>
      </c>
      <c r="G10" s="13" t="n"/>
      <c r="H10" s="13" t="n"/>
      <c r="I10" s="13" t="n"/>
      <c r="J10" s="13" t="n"/>
      <c r="K10" s="13" t="n"/>
      <c r="L10" s="1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22.5" customHeight="1" s="68">
      <c r="A12" s="69" t="inlineStr">
        <is>
          <t>TT</t>
        </is>
      </c>
      <c r="B12" s="70" t="inlineStr">
        <is>
          <t>Họ và tên</t>
        </is>
      </c>
      <c r="C12" s="71" t="n"/>
      <c r="D12" s="70" t="inlineStr">
        <is>
          <t>Mã sinh viên</t>
        </is>
      </c>
      <c r="E12" s="70" t="inlineStr">
        <is>
          <t>ĐIỂM ĐÁNH GIÁ</t>
        </is>
      </c>
      <c r="F12" s="72" t="n"/>
      <c r="G12" s="72" t="n"/>
      <c r="H12" s="72" t="n"/>
      <c r="I12" s="72" t="n"/>
      <c r="J12" s="73" t="n"/>
      <c r="K12" s="70" t="inlineStr">
        <is>
          <t>XẾP LOẠI RÈN LUYỆN</t>
        </is>
      </c>
      <c r="L12" s="74" t="inlineStr">
        <is>
          <t>GHI CHÚ</t>
        </is>
      </c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48" customHeight="1" s="68">
      <c r="A13" s="75" t="n"/>
      <c r="B13" s="76" t="n"/>
      <c r="C13" s="77" t="n"/>
      <c r="D13" s="78" t="n"/>
      <c r="E13" s="29" t="inlineStr">
        <is>
          <t>Nội dung 1 (Max=20)</t>
        </is>
      </c>
      <c r="F13" s="30" t="inlineStr">
        <is>
          <t>Nội dung 2 (Max=25)</t>
        </is>
      </c>
      <c r="G13" s="30" t="inlineStr">
        <is>
          <t>Nội dung 3 (Max=20)</t>
        </is>
      </c>
      <c r="H13" s="30" t="inlineStr">
        <is>
          <t>Nội dung 4 (Max=25)</t>
        </is>
      </c>
      <c r="I13" s="30" t="inlineStr">
        <is>
          <t>Nội dung 5 (Max=10)</t>
        </is>
      </c>
      <c r="J13" s="31" t="inlineStr">
        <is>
          <t>Tổng điểm</t>
        </is>
      </c>
      <c r="K13" s="78" t="n"/>
      <c r="L13" s="79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>
      <c r="A14" s="33" t="n">
        <v>1</v>
      </c>
      <c r="B14" s="34" t="inlineStr">
        <is>
          <t>Nguyễn Hữu Chí</t>
        </is>
      </c>
      <c r="C14" s="35" t="inlineStr">
        <is>
          <t>Bảo</t>
        </is>
      </c>
      <c r="D14" s="36" t="inlineStr">
        <is>
          <t>N25DECE046</t>
        </is>
      </c>
      <c r="E14" s="37" t="n">
        <v>0</v>
      </c>
      <c r="F14" s="37" t="n">
        <v>0</v>
      </c>
      <c r="G14" s="37" t="n">
        <v>0</v>
      </c>
      <c r="H14" s="37" t="n">
        <v>0</v>
      </c>
      <c r="I14" s="37" t="n">
        <v>0</v>
      </c>
      <c r="J14" s="38" t="n">
        <v>0</v>
      </c>
      <c r="K14" s="39" t="inlineStr">
        <is>
          <t>Yêu</t>
        </is>
      </c>
      <c r="L14" s="47" t="inlineStr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>
      <c r="A15" s="33" t="n">
        <v>2</v>
      </c>
      <c r="B15" s="41" t="inlineStr">
        <is>
          <t>Phan Quang</t>
        </is>
      </c>
      <c r="C15" s="35" t="inlineStr">
        <is>
          <t>Đức</t>
        </is>
      </c>
      <c r="D15" s="36" t="inlineStr">
        <is>
          <t>N25DECE047</t>
        </is>
      </c>
      <c r="E15" s="37" t="n">
        <v>0</v>
      </c>
      <c r="F15" s="37" t="n">
        <v>0</v>
      </c>
      <c r="G15" s="37" t="n">
        <v>0</v>
      </c>
      <c r="H15" s="37" t="n">
        <v>0</v>
      </c>
      <c r="I15" s="37" t="n">
        <v>0</v>
      </c>
      <c r="J15" s="38" t="n">
        <v>0</v>
      </c>
      <c r="K15" s="39" t="inlineStr">
        <is>
          <t>Yêu</t>
        </is>
      </c>
      <c r="L15" s="47" t="inlineStr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>
      <c r="A16" s="33" t="n">
        <v>3</v>
      </c>
      <c r="B16" s="42" t="inlineStr">
        <is>
          <t>Nguyễn Hàm Anh</t>
        </is>
      </c>
      <c r="C16" s="35" t="inlineStr">
        <is>
          <t>Dũng</t>
        </is>
      </c>
      <c r="D16" s="36" t="inlineStr">
        <is>
          <t>N25DECE048</t>
        </is>
      </c>
      <c r="E16" s="37" t="n">
        <v>0</v>
      </c>
      <c r="F16" s="37" t="n">
        <v>0</v>
      </c>
      <c r="G16" s="37" t="n">
        <v>0</v>
      </c>
      <c r="H16" s="37" t="n">
        <v>0</v>
      </c>
      <c r="I16" s="37" t="n">
        <v>0</v>
      </c>
      <c r="J16" s="38" t="n">
        <v>0</v>
      </c>
      <c r="K16" s="39" t="inlineStr">
        <is>
          <t>Yêu</t>
        </is>
      </c>
      <c r="L16" s="47" t="inlineStr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17.25" customHeight="1" s="68">
      <c r="A17" s="33" t="n">
        <v>4</v>
      </c>
      <c r="B17" s="42" t="inlineStr">
        <is>
          <t>Thái Dương Tuấn</t>
        </is>
      </c>
      <c r="C17" s="35" t="inlineStr">
        <is>
          <t>Dũng</t>
        </is>
      </c>
      <c r="D17" s="36" t="inlineStr">
        <is>
          <t>N25DECE049</t>
        </is>
      </c>
      <c r="E17" s="37" t="n">
        <v>0</v>
      </c>
      <c r="F17" s="37" t="n">
        <v>0</v>
      </c>
      <c r="G17" s="37" t="n">
        <v>0</v>
      </c>
      <c r="H17" s="37" t="n">
        <v>0</v>
      </c>
      <c r="I17" s="37" t="n">
        <v>0</v>
      </c>
      <c r="J17" s="38" t="n">
        <v>0</v>
      </c>
      <c r="K17" s="39" t="inlineStr">
        <is>
          <t>Yêu</t>
        </is>
      </c>
      <c r="L17" s="47" t="inlineStr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>
      <c r="A18" s="33" t="n">
        <v>5</v>
      </c>
      <c r="B18" s="41" t="inlineStr">
        <is>
          <t>Lê</t>
        </is>
      </c>
      <c r="C18" s="35" t="inlineStr">
        <is>
          <t>Hoàng</t>
        </is>
      </c>
      <c r="D18" s="36" t="inlineStr">
        <is>
          <t>N25DECE051</t>
        </is>
      </c>
      <c r="E18" s="37" t="n">
        <v>0</v>
      </c>
      <c r="F18" s="37" t="n">
        <v>0</v>
      </c>
      <c r="G18" s="37" t="n">
        <v>0</v>
      </c>
      <c r="H18" s="37" t="n">
        <v>0</v>
      </c>
      <c r="I18" s="37" t="n">
        <v>0</v>
      </c>
      <c r="J18" s="38" t="n">
        <v>0</v>
      </c>
      <c r="K18" s="39" t="inlineStr">
        <is>
          <t>Yêu</t>
        </is>
      </c>
      <c r="L18" s="47" t="inlineStr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>
      <c r="A19" s="33" t="n">
        <v>6</v>
      </c>
      <c r="B19" s="41" t="inlineStr">
        <is>
          <t>Nguyễn Gia</t>
        </is>
      </c>
      <c r="C19" s="35" t="inlineStr">
        <is>
          <t>Khang</t>
        </is>
      </c>
      <c r="D19" s="36" t="inlineStr">
        <is>
          <t>N25DECE053</t>
        </is>
      </c>
      <c r="E19" s="37" t="n">
        <v>0</v>
      </c>
      <c r="F19" s="37" t="n">
        <v>0</v>
      </c>
      <c r="G19" s="37" t="n">
        <v>0</v>
      </c>
      <c r="H19" s="37" t="n">
        <v>0</v>
      </c>
      <c r="I19" s="37" t="n">
        <v>0</v>
      </c>
      <c r="J19" s="38" t="n">
        <v>0</v>
      </c>
      <c r="K19" s="39" t="inlineStr">
        <is>
          <t>Yêu</t>
        </is>
      </c>
      <c r="L19" s="47" t="inlineStr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 ht="15.75" customHeight="1" s="68">
      <c r="A20" s="33" t="n">
        <v>7</v>
      </c>
      <c r="B20" s="41" t="inlineStr">
        <is>
          <t>Trần Trung</t>
        </is>
      </c>
      <c r="C20" s="35" t="inlineStr">
        <is>
          <t>Kiên</t>
        </is>
      </c>
      <c r="D20" s="36" t="inlineStr">
        <is>
          <t>N25DECE054</t>
        </is>
      </c>
      <c r="E20" s="37" t="n">
        <v>0</v>
      </c>
      <c r="F20" s="37" t="n">
        <v>0</v>
      </c>
      <c r="G20" s="37" t="n">
        <v>0</v>
      </c>
      <c r="H20" s="37" t="n">
        <v>0</v>
      </c>
      <c r="I20" s="37" t="n">
        <v>0</v>
      </c>
      <c r="J20" s="38" t="n">
        <v>0</v>
      </c>
      <c r="K20" s="39" t="inlineStr">
        <is>
          <t>Yêu</t>
        </is>
      </c>
      <c r="L20" s="47" t="inlineStr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15.75" customHeight="1" s="68">
      <c r="A21" s="33" t="n">
        <v>8</v>
      </c>
      <c r="B21" s="41" t="inlineStr">
        <is>
          <t>Võ</t>
        </is>
      </c>
      <c r="C21" s="35" t="inlineStr">
        <is>
          <t>Lâm</t>
        </is>
      </c>
      <c r="D21" s="36" t="inlineStr">
        <is>
          <t>N25DECE055</t>
        </is>
      </c>
      <c r="E21" s="37" t="n">
        <v>0</v>
      </c>
      <c r="F21" s="37" t="n">
        <v>0</v>
      </c>
      <c r="G21" s="37" t="n">
        <v>0</v>
      </c>
      <c r="H21" s="37" t="n">
        <v>0</v>
      </c>
      <c r="I21" s="37" t="n">
        <v>0</v>
      </c>
      <c r="J21" s="38" t="n">
        <v>0</v>
      </c>
      <c r="K21" s="39" t="inlineStr">
        <is>
          <t>Yêu</t>
        </is>
      </c>
      <c r="L21" s="47" t="inlineStr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</row>
    <row r="22" ht="15.75" customHeight="1" s="68">
      <c r="A22" s="33" t="n">
        <v>9</v>
      </c>
      <c r="B22" s="41" t="inlineStr">
        <is>
          <t>Tô Tấn</t>
        </is>
      </c>
      <c r="C22" s="35" t="inlineStr">
        <is>
          <t>Lực</t>
        </is>
      </c>
      <c r="D22" s="36" t="inlineStr">
        <is>
          <t>N25DECE056</t>
        </is>
      </c>
      <c r="E22" s="37" t="n">
        <v>0</v>
      </c>
      <c r="F22" s="37" t="n">
        <v>0</v>
      </c>
      <c r="G22" s="37" t="n">
        <v>0</v>
      </c>
      <c r="H22" s="37" t="n">
        <v>0</v>
      </c>
      <c r="I22" s="37" t="n">
        <v>0</v>
      </c>
      <c r="J22" s="38" t="n">
        <v>0</v>
      </c>
      <c r="K22" s="39" t="inlineStr">
        <is>
          <t>Yêu</t>
        </is>
      </c>
      <c r="L22" s="47" t="inlineStr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15.75" customHeight="1" s="68">
      <c r="A23" s="33" t="n">
        <v>10</v>
      </c>
      <c r="B23" s="41" t="inlineStr">
        <is>
          <t>Bùi Thanh</t>
        </is>
      </c>
      <c r="C23" s="35" t="inlineStr">
        <is>
          <t>Minh</t>
        </is>
      </c>
      <c r="D23" s="36" t="inlineStr">
        <is>
          <t>N25DECE057</t>
        </is>
      </c>
      <c r="E23" s="37" t="n">
        <v>0</v>
      </c>
      <c r="F23" s="37" t="n">
        <v>0</v>
      </c>
      <c r="G23" s="37" t="n">
        <v>0</v>
      </c>
      <c r="H23" s="37" t="n">
        <v>0</v>
      </c>
      <c r="I23" s="37" t="n">
        <v>0</v>
      </c>
      <c r="J23" s="38" t="n">
        <v>0</v>
      </c>
      <c r="K23" s="39" t="inlineStr">
        <is>
          <t>Yêu</t>
        </is>
      </c>
      <c r="L23" s="47" t="inlineStr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</row>
    <row r="24" ht="15.75" customHeight="1" s="68">
      <c r="A24" s="33" t="n">
        <v>11</v>
      </c>
      <c r="B24" s="41" t="inlineStr">
        <is>
          <t>Châu Khánh</t>
        </is>
      </c>
      <c r="C24" s="35" t="inlineStr">
        <is>
          <t>Ngọc</t>
        </is>
      </c>
      <c r="D24" s="36" t="inlineStr">
        <is>
          <t>N25DECE058</t>
        </is>
      </c>
      <c r="E24" s="37" t="n">
        <v>0</v>
      </c>
      <c r="F24" s="37" t="n">
        <v>0</v>
      </c>
      <c r="G24" s="37" t="n">
        <v>0</v>
      </c>
      <c r="H24" s="37" t="n">
        <v>0</v>
      </c>
      <c r="I24" s="37" t="n">
        <v>0</v>
      </c>
      <c r="J24" s="38" t="n">
        <v>0</v>
      </c>
      <c r="K24" s="39" t="inlineStr">
        <is>
          <t>Yêu</t>
        </is>
      </c>
      <c r="L24" s="47" t="inlineStr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15.75" customHeight="1" s="68">
      <c r="A25" s="33" t="n">
        <v>12</v>
      </c>
      <c r="B25" s="41" t="inlineStr">
        <is>
          <t>Nguyễn Thanh</t>
        </is>
      </c>
      <c r="C25" s="35" t="inlineStr">
        <is>
          <t>Nhân</t>
        </is>
      </c>
      <c r="D25" s="36" t="inlineStr">
        <is>
          <t>N25DECE059</t>
        </is>
      </c>
      <c r="E25" s="37" t="n">
        <v>0</v>
      </c>
      <c r="F25" s="37" t="n">
        <v>0</v>
      </c>
      <c r="G25" s="37" t="n">
        <v>0</v>
      </c>
      <c r="H25" s="37" t="n">
        <v>0</v>
      </c>
      <c r="I25" s="37" t="n">
        <v>0</v>
      </c>
      <c r="J25" s="38" t="n">
        <v>0</v>
      </c>
      <c r="K25" s="39" t="inlineStr">
        <is>
          <t>Yêu</t>
        </is>
      </c>
      <c r="L25" s="47" t="inlineStr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</row>
    <row r="26" ht="15.75" customHeight="1" s="68">
      <c r="A26" s="33" t="n">
        <v>13</v>
      </c>
      <c r="B26" s="41" t="inlineStr">
        <is>
          <t>Nguyễn Minh</t>
        </is>
      </c>
      <c r="C26" s="35" t="inlineStr">
        <is>
          <t>Nhật</t>
        </is>
      </c>
      <c r="D26" s="36" t="inlineStr">
        <is>
          <t>N25DECE060</t>
        </is>
      </c>
      <c r="E26" s="37" t="n">
        <v>0</v>
      </c>
      <c r="F26" s="37" t="n">
        <v>0</v>
      </c>
      <c r="G26" s="37" t="n">
        <v>0</v>
      </c>
      <c r="H26" s="37" t="n">
        <v>0</v>
      </c>
      <c r="I26" s="37" t="n">
        <v>0</v>
      </c>
      <c r="J26" s="38" t="n">
        <v>0</v>
      </c>
      <c r="K26" s="39" t="inlineStr">
        <is>
          <t>Yêu</t>
        </is>
      </c>
      <c r="L26" s="47" t="inlineStr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15.75" customHeight="1" s="68">
      <c r="A27" s="33" t="n">
        <v>14</v>
      </c>
      <c r="B27" s="42" t="inlineStr">
        <is>
          <t>Phạm Thị Quỳnh</t>
        </is>
      </c>
      <c r="C27" s="35" t="inlineStr">
        <is>
          <t>Như</t>
        </is>
      </c>
      <c r="D27" s="36" t="inlineStr">
        <is>
          <t>N25DECE061</t>
        </is>
      </c>
      <c r="E27" s="37" t="n">
        <v>0</v>
      </c>
      <c r="F27" s="37" t="n">
        <v>0</v>
      </c>
      <c r="G27" s="37" t="n">
        <v>0</v>
      </c>
      <c r="H27" s="37" t="n">
        <v>0</v>
      </c>
      <c r="I27" s="37" t="n">
        <v>0</v>
      </c>
      <c r="J27" s="38" t="n">
        <v>0</v>
      </c>
      <c r="K27" s="39" t="inlineStr">
        <is>
          <t>Yêu</t>
        </is>
      </c>
      <c r="L27" s="47" t="inlineStr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</row>
    <row r="28" ht="15.75" customHeight="1" s="68">
      <c r="A28" s="33" t="n">
        <v>15</v>
      </c>
      <c r="B28" s="41" t="inlineStr">
        <is>
          <t>Vũ Lê Thành</t>
        </is>
      </c>
      <c r="C28" s="35" t="inlineStr">
        <is>
          <t>Phát</t>
        </is>
      </c>
      <c r="D28" s="36" t="inlineStr">
        <is>
          <t>N25DECE062</t>
        </is>
      </c>
      <c r="E28" s="37" t="n">
        <v>0</v>
      </c>
      <c r="F28" s="37" t="n">
        <v>0</v>
      </c>
      <c r="G28" s="37" t="n">
        <v>0</v>
      </c>
      <c r="H28" s="37" t="n">
        <v>0</v>
      </c>
      <c r="I28" s="37" t="n">
        <v>0</v>
      </c>
      <c r="J28" s="38" t="n">
        <v>0</v>
      </c>
      <c r="K28" s="39" t="inlineStr">
        <is>
          <t>Yêu</t>
        </is>
      </c>
      <c r="L28" s="47" t="inlineStr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15.75" customHeight="1" s="68">
      <c r="A29" s="33" t="n">
        <v>16</v>
      </c>
      <c r="B29" s="41" t="inlineStr">
        <is>
          <t>Võ Triệu</t>
        </is>
      </c>
      <c r="C29" s="35" t="inlineStr">
        <is>
          <t>Phú</t>
        </is>
      </c>
      <c r="D29" s="36" t="inlineStr">
        <is>
          <t>N25DECE063</t>
        </is>
      </c>
      <c r="E29" s="37" t="n">
        <v>0</v>
      </c>
      <c r="F29" s="37" t="n">
        <v>0</v>
      </c>
      <c r="G29" s="37" t="n">
        <v>0</v>
      </c>
      <c r="H29" s="37" t="n">
        <v>0</v>
      </c>
      <c r="I29" s="37" t="n">
        <v>0</v>
      </c>
      <c r="J29" s="43" t="n">
        <v>0</v>
      </c>
      <c r="K29" s="39" t="inlineStr">
        <is>
          <t>Yêu</t>
        </is>
      </c>
      <c r="L29" s="47" t="inlineStr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</row>
    <row r="30" ht="15.75" customHeight="1" s="68">
      <c r="A30" s="33" t="n">
        <v>17</v>
      </c>
      <c r="B30" s="42" t="inlineStr">
        <is>
          <t>Phan Đoàn Thành</t>
        </is>
      </c>
      <c r="C30" s="35" t="inlineStr">
        <is>
          <t>Tài</t>
        </is>
      </c>
      <c r="D30" s="36" t="inlineStr">
        <is>
          <t>N25DECE065</t>
        </is>
      </c>
      <c r="E30" s="37" t="n">
        <v>0</v>
      </c>
      <c r="F30" s="37" t="n">
        <v>0</v>
      </c>
      <c r="G30" s="37" t="n">
        <v>0</v>
      </c>
      <c r="H30" s="37" t="n">
        <v>0</v>
      </c>
      <c r="I30" s="37" t="n">
        <v>0</v>
      </c>
      <c r="J30" s="38" t="n">
        <v>0</v>
      </c>
      <c r="K30" s="39" t="inlineStr">
        <is>
          <t>Yêu</t>
        </is>
      </c>
      <c r="L30" s="47" t="inlineStr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15.75" customHeight="1" s="68">
      <c r="A31" s="33" t="n">
        <v>18</v>
      </c>
      <c r="B31" s="41" t="inlineStr">
        <is>
          <t xml:space="preserve">Trần </t>
        </is>
      </c>
      <c r="C31" s="35" t="inlineStr">
        <is>
          <t>Thành</t>
        </is>
      </c>
      <c r="D31" s="36" t="inlineStr">
        <is>
          <t>N25DECE067</t>
        </is>
      </c>
      <c r="E31" s="37" t="n">
        <v>0</v>
      </c>
      <c r="F31" s="37" t="n">
        <v>0</v>
      </c>
      <c r="G31" s="37" t="n">
        <v>0</v>
      </c>
      <c r="H31" s="37" t="n">
        <v>0</v>
      </c>
      <c r="I31" s="37" t="n">
        <v>0</v>
      </c>
      <c r="J31" s="38" t="n">
        <v>0</v>
      </c>
      <c r="K31" s="39" t="inlineStr">
        <is>
          <t>Yêu</t>
        </is>
      </c>
      <c r="L31" s="47" t="inlineStr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</row>
    <row r="32" ht="15.75" customHeight="1" s="68">
      <c r="A32" s="33" t="n">
        <v>19</v>
      </c>
      <c r="B32" s="41" t="inlineStr">
        <is>
          <t>Dương Hữu</t>
        </is>
      </c>
      <c r="C32" s="35" t="inlineStr">
        <is>
          <t>Thiện</t>
        </is>
      </c>
      <c r="D32" s="36" t="inlineStr">
        <is>
          <t>N25DECE068</t>
        </is>
      </c>
      <c r="E32" s="37" t="n">
        <v>0</v>
      </c>
      <c r="F32" s="37" t="n">
        <v>0</v>
      </c>
      <c r="G32" s="37" t="n">
        <v>0</v>
      </c>
      <c r="H32" s="37" t="n">
        <v>0</v>
      </c>
      <c r="I32" s="37" t="n">
        <v>0</v>
      </c>
      <c r="J32" s="38" t="n">
        <v>0</v>
      </c>
      <c r="K32" s="39" t="inlineStr">
        <is>
          <t>Yêu</t>
        </is>
      </c>
      <c r="L32" s="47" t="inlineStr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15.75" customHeight="1" s="68">
      <c r="A33" s="33" t="n">
        <v>20</v>
      </c>
      <c r="B33" s="44" t="inlineStr">
        <is>
          <t>Cao Nguyễn Hữu</t>
        </is>
      </c>
      <c r="C33" s="35" t="inlineStr">
        <is>
          <t>Thuận</t>
        </is>
      </c>
      <c r="D33" s="36" t="inlineStr">
        <is>
          <t>N25DECE069</t>
        </is>
      </c>
      <c r="E33" s="37" t="n">
        <v>0</v>
      </c>
      <c r="F33" s="37" t="n">
        <v>0</v>
      </c>
      <c r="G33" s="37" t="n">
        <v>0</v>
      </c>
      <c r="H33" s="37" t="n">
        <v>0</v>
      </c>
      <c r="I33" s="37" t="n">
        <v>0</v>
      </c>
      <c r="J33" s="38" t="n">
        <v>0</v>
      </c>
      <c r="K33" s="39" t="inlineStr">
        <is>
          <t>Yêu</t>
        </is>
      </c>
      <c r="L33" s="45" t="inlineStr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</row>
    <row r="34" ht="15.75" customHeight="1" s="68">
      <c r="A34" s="33" t="n">
        <v>21</v>
      </c>
      <c r="B34" s="41" t="inlineStr">
        <is>
          <t>Nguyễn Quốc</t>
        </is>
      </c>
      <c r="C34" s="35" t="inlineStr">
        <is>
          <t>Toàn</t>
        </is>
      </c>
      <c r="D34" s="36" t="inlineStr">
        <is>
          <t>N25DECE070</t>
        </is>
      </c>
      <c r="E34" s="37" t="n">
        <v>0</v>
      </c>
      <c r="F34" s="37" t="n">
        <v>0</v>
      </c>
      <c r="G34" s="37" t="n">
        <v>0</v>
      </c>
      <c r="H34" s="37" t="n">
        <v>0</v>
      </c>
      <c r="I34" s="37" t="n">
        <v>0</v>
      </c>
      <c r="J34" s="38" t="n">
        <v>0</v>
      </c>
      <c r="K34" s="39" t="inlineStr">
        <is>
          <t>Yêu</t>
        </is>
      </c>
      <c r="L34" s="47" t="inlineStr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15.75" customHeight="1" s="68">
      <c r="A35" s="33" t="n">
        <v>22</v>
      </c>
      <c r="B35" s="46" t="inlineStr">
        <is>
          <t>Nguyễn Trương Minh</t>
        </is>
      </c>
      <c r="C35" s="35" t="inlineStr">
        <is>
          <t>Triết</t>
        </is>
      </c>
      <c r="D35" s="36" t="inlineStr">
        <is>
          <t>N25DECE071</t>
        </is>
      </c>
      <c r="E35" s="37" t="n">
        <v>0</v>
      </c>
      <c r="F35" s="37" t="n">
        <v>0</v>
      </c>
      <c r="G35" s="37" t="n">
        <v>0</v>
      </c>
      <c r="H35" s="37" t="n">
        <v>0</v>
      </c>
      <c r="I35" s="37" t="n">
        <v>0</v>
      </c>
      <c r="J35" s="38" t="n">
        <v>0</v>
      </c>
      <c r="K35" s="39" t="inlineStr">
        <is>
          <t>Yêu</t>
        </is>
      </c>
      <c r="L35" s="47" t="inlineStr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</row>
    <row r="36" ht="15.75" customHeight="1" s="68">
      <c r="A36" s="33" t="n">
        <v>23</v>
      </c>
      <c r="B36" s="46" t="inlineStr">
        <is>
          <t>Nguyễn Phạm Thành</t>
        </is>
      </c>
      <c r="C36" s="35" t="inlineStr">
        <is>
          <t>Trung</t>
        </is>
      </c>
      <c r="D36" s="36" t="inlineStr">
        <is>
          <t>N25DECE072</t>
        </is>
      </c>
      <c r="E36" s="37" t="n">
        <v>0</v>
      </c>
      <c r="F36" s="37" t="n">
        <v>0</v>
      </c>
      <c r="G36" s="37" t="n">
        <v>0</v>
      </c>
      <c r="H36" s="37" t="n">
        <v>0</v>
      </c>
      <c r="I36" s="37" t="n">
        <v>0</v>
      </c>
      <c r="J36" s="38" t="n">
        <v>0</v>
      </c>
      <c r="K36" s="39" t="inlineStr">
        <is>
          <t>Yêu</t>
        </is>
      </c>
      <c r="L36" s="47" t="inlineStr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15.75" customHeight="1" s="68">
      <c r="A37" s="33" t="n">
        <v>24</v>
      </c>
      <c r="B37" s="48" t="inlineStr">
        <is>
          <t xml:space="preserve">Nguyễn Anh </t>
        </is>
      </c>
      <c r="C37" s="35" t="inlineStr">
        <is>
          <t>Tuấn</t>
        </is>
      </c>
      <c r="D37" s="36" t="inlineStr">
        <is>
          <t>N25DECE073</t>
        </is>
      </c>
      <c r="E37" s="37" t="n">
        <v>0</v>
      </c>
      <c r="F37" s="37" t="n">
        <v>0</v>
      </c>
      <c r="G37" s="37" t="n">
        <v>0</v>
      </c>
      <c r="H37" s="37" t="n">
        <v>0</v>
      </c>
      <c r="I37" s="37" t="n">
        <v>0</v>
      </c>
      <c r="J37" s="49" t="n">
        <v>0</v>
      </c>
      <c r="K37" s="39" t="inlineStr">
        <is>
          <t>Yêu</t>
        </is>
      </c>
      <c r="L37" s="50" t="inlineStr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</row>
    <row r="38" ht="15.75" customHeight="1" s="68">
      <c r="A38" s="33" t="n">
        <v>25</v>
      </c>
      <c r="B38" s="41" t="inlineStr">
        <is>
          <t>Trương Quang</t>
        </is>
      </c>
      <c r="C38" s="35" t="inlineStr">
        <is>
          <t>Tuấn</t>
        </is>
      </c>
      <c r="D38" s="36" t="inlineStr">
        <is>
          <t>N25DECE074</t>
        </is>
      </c>
      <c r="E38" s="37" t="n">
        <v>0</v>
      </c>
      <c r="F38" s="37" t="n">
        <v>0</v>
      </c>
      <c r="G38" s="37" t="n">
        <v>0</v>
      </c>
      <c r="H38" s="37" t="n">
        <v>0</v>
      </c>
      <c r="I38" s="37" t="n">
        <v>0</v>
      </c>
      <c r="J38" s="38" t="n">
        <v>0</v>
      </c>
      <c r="K38" s="39" t="inlineStr">
        <is>
          <t>Yêu</t>
        </is>
      </c>
      <c r="L38" s="47" t="inlineStr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15.75" customHeight="1" s="68">
      <c r="A39" s="33" t="n">
        <v>26</v>
      </c>
      <c r="B39" s="41" t="inlineStr">
        <is>
          <t>Tôn Phương</t>
        </is>
      </c>
      <c r="C39" s="35" t="inlineStr">
        <is>
          <t>Uyên</t>
        </is>
      </c>
      <c r="D39" s="36" t="inlineStr">
        <is>
          <t>N25DECE075</t>
        </is>
      </c>
      <c r="E39" s="37" t="n">
        <v>0</v>
      </c>
      <c r="F39" s="37" t="n">
        <v>0</v>
      </c>
      <c r="G39" s="37" t="n">
        <v>0</v>
      </c>
      <c r="H39" s="37" t="n">
        <v>0</v>
      </c>
      <c r="I39" s="37" t="n">
        <v>0</v>
      </c>
      <c r="J39" s="38" t="n">
        <v>0</v>
      </c>
      <c r="K39" s="39" t="inlineStr">
        <is>
          <t>Yêu</t>
        </is>
      </c>
      <c r="L39" s="45" t="inlineStr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</row>
    <row r="40" ht="15.75" customHeight="1" s="68">
      <c r="A40" s="33" t="n">
        <v>27</v>
      </c>
      <c r="B40" s="41" t="inlineStr">
        <is>
          <t>Nguyễn Quân</t>
        </is>
      </c>
      <c r="C40" s="35" t="inlineStr">
        <is>
          <t>Vương</t>
        </is>
      </c>
      <c r="D40" s="36" t="inlineStr">
        <is>
          <t>N25DECE076</t>
        </is>
      </c>
      <c r="E40" s="37" t="n">
        <v>0</v>
      </c>
      <c r="F40" s="37" t="n">
        <v>0</v>
      </c>
      <c r="G40" s="37" t="n">
        <v>0</v>
      </c>
      <c r="H40" s="37" t="n">
        <v>0</v>
      </c>
      <c r="I40" s="37" t="n">
        <v>0</v>
      </c>
      <c r="J40" s="38" t="n">
        <v>0</v>
      </c>
      <c r="K40" s="39" t="inlineStr">
        <is>
          <t>Yêu</t>
        </is>
      </c>
      <c r="L40" s="47" t="inlineStr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</row>
    <row r="41" ht="15.75" customHeight="1" s="68">
      <c r="A41" s="33" t="n">
        <v>28</v>
      </c>
      <c r="B41" s="41" t="inlineStr">
        <is>
          <t>Trần Quốc</t>
        </is>
      </c>
      <c r="C41" s="35" t="inlineStr">
        <is>
          <t>Anh</t>
        </is>
      </c>
      <c r="D41" s="36" t="inlineStr">
        <is>
          <t>N25DECE077</t>
        </is>
      </c>
      <c r="E41" s="37" t="n">
        <v>0</v>
      </c>
      <c r="F41" s="37" t="n">
        <v>0</v>
      </c>
      <c r="G41" s="37" t="n">
        <v>0</v>
      </c>
      <c r="H41" s="37" t="n">
        <v>0</v>
      </c>
      <c r="I41" s="37" t="n">
        <v>0</v>
      </c>
      <c r="J41" s="38" t="n">
        <v>0</v>
      </c>
      <c r="K41" s="39" t="inlineStr">
        <is>
          <t>Yêu</t>
        </is>
      </c>
      <c r="L41" s="47" t="inlineStr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</row>
    <row r="42" ht="15.75" customHeight="1" s="68">
      <c r="A42" s="33" t="n">
        <v>29</v>
      </c>
      <c r="B42" s="41" t="inlineStr">
        <is>
          <t>Vương Hà Hải</t>
        </is>
      </c>
      <c r="C42" s="35" t="inlineStr">
        <is>
          <t>Đăng</t>
        </is>
      </c>
      <c r="D42" s="36" t="inlineStr">
        <is>
          <t>N25DECE078</t>
        </is>
      </c>
      <c r="E42" s="37" t="n">
        <v>0</v>
      </c>
      <c r="F42" s="37" t="n">
        <v>0</v>
      </c>
      <c r="G42" s="37" t="n">
        <v>0</v>
      </c>
      <c r="H42" s="37" t="n">
        <v>0</v>
      </c>
      <c r="I42" s="37" t="n">
        <v>0</v>
      </c>
      <c r="J42" s="38" t="n">
        <v>0</v>
      </c>
      <c r="K42" s="39" t="inlineStr">
        <is>
          <t>Yêu</t>
        </is>
      </c>
      <c r="L42" s="47" t="inlineStr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</row>
    <row r="43" ht="15.75" customHeight="1" s="68">
      <c r="A43" s="33" t="n">
        <v>30</v>
      </c>
      <c r="B43" s="41" t="inlineStr">
        <is>
          <t>Nguyễn Anh</t>
        </is>
      </c>
      <c r="C43" s="35" t="inlineStr">
        <is>
          <t>Đức</t>
        </is>
      </c>
      <c r="D43" s="36" t="inlineStr">
        <is>
          <t>N25DECE079</t>
        </is>
      </c>
      <c r="E43" s="37" t="n">
        <v>0</v>
      </c>
      <c r="F43" s="37" t="n">
        <v>0</v>
      </c>
      <c r="G43" s="37" t="n">
        <v>0</v>
      </c>
      <c r="H43" s="37" t="n">
        <v>0</v>
      </c>
      <c r="I43" s="37" t="n">
        <v>0</v>
      </c>
      <c r="J43" s="38" t="n">
        <v>0</v>
      </c>
      <c r="K43" s="39" t="inlineStr">
        <is>
          <t>Yêu</t>
        </is>
      </c>
      <c r="L43" s="47" t="inlineStr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</row>
    <row r="44" ht="15.75" customHeight="1" s="68">
      <c r="A44" s="33" t="n">
        <v>31</v>
      </c>
      <c r="B44" s="41" t="inlineStr">
        <is>
          <t>Thẩm Trường</t>
        </is>
      </c>
      <c r="C44" s="35" t="inlineStr">
        <is>
          <t>Giang</t>
        </is>
      </c>
      <c r="D44" s="36" t="inlineStr">
        <is>
          <t>N25DECE080</t>
        </is>
      </c>
      <c r="E44" s="37" t="n">
        <v>0</v>
      </c>
      <c r="F44" s="37" t="n">
        <v>0</v>
      </c>
      <c r="G44" s="37" t="n">
        <v>0</v>
      </c>
      <c r="H44" s="37" t="n">
        <v>0</v>
      </c>
      <c r="I44" s="37" t="n">
        <v>0</v>
      </c>
      <c r="J44" s="38" t="n">
        <v>0</v>
      </c>
      <c r="K44" s="39" t="inlineStr">
        <is>
          <t>Yêu</t>
        </is>
      </c>
      <c r="L44" s="47" t="inlineStr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</row>
    <row r="45" ht="15.75" customHeight="1" s="68">
      <c r="A45" s="33" t="n">
        <v>32</v>
      </c>
      <c r="B45" s="41" t="inlineStr">
        <is>
          <t>Lê Quốc</t>
        </is>
      </c>
      <c r="C45" s="35" t="inlineStr">
        <is>
          <t>Hưng</t>
        </is>
      </c>
      <c r="D45" s="36" t="inlineStr">
        <is>
          <t>N25DECE081</t>
        </is>
      </c>
      <c r="E45" s="37" t="n">
        <v>0</v>
      </c>
      <c r="F45" s="37" t="n">
        <v>0</v>
      </c>
      <c r="G45" s="37" t="n">
        <v>0</v>
      </c>
      <c r="H45" s="37" t="n">
        <v>0</v>
      </c>
      <c r="I45" s="37" t="n">
        <v>0</v>
      </c>
      <c r="J45" s="38" t="n">
        <v>0</v>
      </c>
      <c r="K45" s="39" t="inlineStr">
        <is>
          <t>Yêu</t>
        </is>
      </c>
      <c r="L45" s="47" t="inlineStr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</row>
    <row r="46" ht="15.75" customHeight="1" s="68">
      <c r="A46" s="33" t="n">
        <v>33</v>
      </c>
      <c r="B46" s="41" t="inlineStr">
        <is>
          <t>Ngô Trí</t>
        </is>
      </c>
      <c r="C46" s="35" t="inlineStr">
        <is>
          <t>Long</t>
        </is>
      </c>
      <c r="D46" s="36" t="inlineStr">
        <is>
          <t>N25DECE082</t>
        </is>
      </c>
      <c r="E46" s="37" t="n">
        <v>0</v>
      </c>
      <c r="F46" s="37" t="n">
        <v>0</v>
      </c>
      <c r="G46" s="37" t="n">
        <v>0</v>
      </c>
      <c r="H46" s="37" t="n">
        <v>0</v>
      </c>
      <c r="I46" s="37" t="n">
        <v>0</v>
      </c>
      <c r="J46" s="38" t="n">
        <v>0</v>
      </c>
      <c r="K46" s="39" t="inlineStr">
        <is>
          <t>Yêu</t>
        </is>
      </c>
      <c r="L46" s="47" t="inlineStr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</row>
    <row r="47" ht="15.75" customHeight="1" s="68">
      <c r="A47" s="33" t="n">
        <v>34</v>
      </c>
      <c r="B47" s="41" t="inlineStr">
        <is>
          <t xml:space="preserve">Hoàng Trí </t>
        </is>
      </c>
      <c r="C47" s="35" t="inlineStr">
        <is>
          <t>Nhật</t>
        </is>
      </c>
      <c r="D47" s="36" t="inlineStr">
        <is>
          <t>N25DECE083</t>
        </is>
      </c>
      <c r="E47" s="37" t="n">
        <v>0</v>
      </c>
      <c r="F47" s="37" t="n">
        <v>0</v>
      </c>
      <c r="G47" s="37" t="n">
        <v>0</v>
      </c>
      <c r="H47" s="37" t="n">
        <v>0</v>
      </c>
      <c r="I47" s="37" t="n">
        <v>0</v>
      </c>
      <c r="J47" s="38" t="n">
        <v>0</v>
      </c>
      <c r="K47" s="39" t="inlineStr">
        <is>
          <t>Yêu</t>
        </is>
      </c>
      <c r="L47" s="47" t="inlineStr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</row>
    <row r="48" ht="15.75" customHeight="1" s="68">
      <c r="A48" s="33" t="n">
        <v>35</v>
      </c>
      <c r="B48" s="46" t="inlineStr">
        <is>
          <t>Nguyễn Hoàng Phú</t>
        </is>
      </c>
      <c r="C48" s="35" t="inlineStr">
        <is>
          <t>Tài</t>
        </is>
      </c>
      <c r="D48" s="36" t="inlineStr">
        <is>
          <t>N25DECE084</t>
        </is>
      </c>
      <c r="E48" s="37" t="n">
        <v>0</v>
      </c>
      <c r="F48" s="37" t="n">
        <v>0</v>
      </c>
      <c r="G48" s="37" t="n">
        <v>0</v>
      </c>
      <c r="H48" s="37" t="n">
        <v>0</v>
      </c>
      <c r="I48" s="37" t="n">
        <v>0</v>
      </c>
      <c r="J48" s="38" t="n">
        <v>0</v>
      </c>
      <c r="K48" s="39" t="inlineStr">
        <is>
          <t>Yêu</t>
        </is>
      </c>
      <c r="L48" s="47" t="inlineStr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</row>
    <row r="49" ht="15.75" customHeight="1" s="68">
      <c r="A49" s="33" t="n">
        <v>36</v>
      </c>
      <c r="B49" s="41" t="inlineStr">
        <is>
          <t>Nguyễn Văn</t>
        </is>
      </c>
      <c r="C49" s="35" t="inlineStr">
        <is>
          <t>Trãi</t>
        </is>
      </c>
      <c r="D49" s="36" t="inlineStr">
        <is>
          <t>N25DECE085</t>
        </is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8" t="n">
        <v>0</v>
      </c>
      <c r="K49" s="39" t="inlineStr">
        <is>
          <t>Yêu</t>
        </is>
      </c>
      <c r="L49" s="47" t="inlineStr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</row>
    <row r="50" ht="15.75" customHeight="1" s="68">
      <c r="A50" s="51" t="n">
        <v>37</v>
      </c>
      <c r="B50" s="52" t="inlineStr">
        <is>
          <t>Nguyễn Phương Quốc</t>
        </is>
      </c>
      <c r="C50" s="53" t="inlineStr">
        <is>
          <t>Vương</t>
        </is>
      </c>
      <c r="D50" s="54" t="inlineStr">
        <is>
          <t>N25DECE086</t>
        </is>
      </c>
      <c r="E50" s="55" t="n">
        <v>0</v>
      </c>
      <c r="F50" s="55" t="n">
        <v>0</v>
      </c>
      <c r="G50" s="55" t="n">
        <v>0</v>
      </c>
      <c r="H50" s="55" t="n">
        <v>0</v>
      </c>
      <c r="I50" s="55" t="n">
        <v>0</v>
      </c>
      <c r="J50" s="56" t="n">
        <v>0</v>
      </c>
      <c r="K50" s="57" t="inlineStr">
        <is>
          <t>Yêu</t>
        </is>
      </c>
      <c r="L50" s="58" t="inlineStr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</row>
    <row r="51" ht="15.75" customHeight="1" s="68">
      <c r="A51" s="59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68">
      <c r="A52" s="62" t="n"/>
      <c r="B52" s="61" t="inlineStr">
        <is>
          <t>Danh sách có</t>
        </is>
      </c>
      <c r="C52" s="62">
        <f>COUNTA($K$14:$K$50)</f>
        <v/>
      </c>
      <c r="D52" s="62" t="inlineStr">
        <is>
          <t xml:space="preserve"> sinh viên</t>
        </is>
      </c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62" t="n"/>
      <c r="O52" s="62" t="n"/>
      <c r="P52" s="62" t="n"/>
      <c r="Q52" s="62" t="n"/>
      <c r="R52" s="62" t="n"/>
      <c r="S52" s="62" t="n"/>
      <c r="T52" s="62" t="n"/>
      <c r="U52" s="62" t="n"/>
      <c r="V52" s="62" t="n"/>
      <c r="W52" s="62" t="n"/>
      <c r="X52" s="62" t="n"/>
      <c r="Y52" s="62" t="n"/>
      <c r="Z52" s="62" t="n"/>
    </row>
    <row r="53" ht="15.75" customHeight="1" s="68">
      <c r="A53" s="62" t="inlineStr">
        <is>
          <t>Lưu ý: Kết quả điểm rèn luyện được phân thành các loại: Xuất sắc, Tốt, Khá, Trung bình, Yếu, Kém</t>
        </is>
      </c>
      <c r="B53" s="61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62" t="n"/>
      <c r="O53" s="62" t="n"/>
      <c r="P53" s="62" t="n"/>
      <c r="Q53" s="62" t="n"/>
      <c r="R53" s="62" t="n"/>
      <c r="S53" s="62" t="n"/>
      <c r="T53" s="62" t="n"/>
      <c r="U53" s="62" t="n"/>
      <c r="V53" s="62" t="n"/>
      <c r="W53" s="62" t="n"/>
      <c r="X53" s="62" t="n"/>
      <c r="Y53" s="62" t="n"/>
      <c r="Z53" s="62" t="n"/>
    </row>
    <row r="54" ht="22.5" customHeight="1" s="68">
      <c r="A54" s="59" t="n"/>
      <c r="B54" s="62" t="n"/>
      <c r="C54" s="63" t="inlineStr">
        <is>
          <t>_ Loại Xuất sắc: Từ 90- đến 100 điểm</t>
        </is>
      </c>
      <c r="G54" s="3" t="n"/>
      <c r="H54" s="62">
        <f>COUNTIF($K$14:$K$50,"Xuất sắc")</f>
        <v/>
      </c>
      <c r="I54" s="62" t="inlineStr">
        <is>
          <t>Sinh viên</t>
        </is>
      </c>
      <c r="J54" s="64">
        <f>H54/$C$52%</f>
        <v/>
      </c>
      <c r="K54" s="62" t="inlineStr">
        <is>
          <t>%</t>
        </is>
      </c>
      <c r="L54" s="62" t="n"/>
      <c r="M54" s="62" t="n"/>
      <c r="N54" s="62" t="n"/>
      <c r="O54" s="62" t="n"/>
      <c r="P54" s="62" t="n"/>
      <c r="Q54" s="62" t="n"/>
      <c r="R54" s="62" t="n"/>
      <c r="S54" s="62" t="n"/>
      <c r="T54" s="62" t="n"/>
      <c r="U54" s="62" t="n"/>
      <c r="V54" s="62" t="n"/>
      <c r="W54" s="62" t="n"/>
      <c r="X54" s="62" t="n"/>
      <c r="Y54" s="62" t="n"/>
      <c r="Z54" s="62" t="n"/>
    </row>
    <row r="55" ht="15.75" customHeight="1" s="68">
      <c r="A55" s="59" t="n"/>
      <c r="B55" s="62" t="n"/>
      <c r="C55" s="63" t="inlineStr">
        <is>
          <t>_ Loại Tốt: Từ 80 đến dưới 90 điểm</t>
        </is>
      </c>
      <c r="G55" s="3" t="n"/>
      <c r="H55" s="62">
        <f>COUNTIF($K$14:$K$50,"Tốt")</f>
        <v/>
      </c>
      <c r="I55" s="62" t="inlineStr">
        <is>
          <t>Sinh viên</t>
        </is>
      </c>
      <c r="J55" s="64">
        <f>H55/$C$52%</f>
        <v/>
      </c>
      <c r="K55" s="62" t="inlineStr">
        <is>
          <t>%</t>
        </is>
      </c>
      <c r="L55" s="62" t="n"/>
      <c r="M55" s="62" t="n"/>
      <c r="N55" s="62" t="n"/>
      <c r="O55" s="62" t="n"/>
      <c r="P55" s="62" t="n"/>
      <c r="Q55" s="62" t="n"/>
      <c r="R55" s="62" t="n"/>
      <c r="S55" s="62" t="n"/>
      <c r="T55" s="62" t="n"/>
      <c r="U55" s="62" t="n"/>
      <c r="V55" s="62" t="n"/>
      <c r="W55" s="62" t="n"/>
      <c r="X55" s="62" t="n"/>
      <c r="Y55" s="62" t="n"/>
      <c r="Z55" s="62" t="n"/>
    </row>
    <row r="56" ht="15.75" customHeight="1" s="68">
      <c r="A56" s="59" t="n"/>
      <c r="B56" s="62" t="n"/>
      <c r="C56" s="63" t="inlineStr">
        <is>
          <t>_ Loại Khá: Từ 65 đến dưới 80 điểm</t>
        </is>
      </c>
      <c r="G56" s="3" t="n"/>
      <c r="H56" s="62">
        <f>COUNTIF($K$14:$K$50,"Khá")</f>
        <v/>
      </c>
      <c r="I56" s="62" t="inlineStr">
        <is>
          <t>Sinh viên</t>
        </is>
      </c>
      <c r="J56" s="64">
        <f>H56/$C$52%</f>
        <v/>
      </c>
      <c r="K56" s="62" t="inlineStr">
        <is>
          <t>%</t>
        </is>
      </c>
      <c r="L56" s="62" t="n"/>
      <c r="M56" s="62" t="n"/>
      <c r="N56" s="62" t="n"/>
      <c r="O56" s="62" t="n"/>
      <c r="P56" s="62" t="n"/>
      <c r="Q56" s="62" t="n"/>
      <c r="R56" s="62" t="n"/>
      <c r="S56" s="62" t="n"/>
      <c r="T56" s="62" t="n"/>
      <c r="U56" s="62" t="n"/>
      <c r="V56" s="62" t="n"/>
      <c r="W56" s="62" t="n"/>
      <c r="X56" s="62" t="n"/>
      <c r="Y56" s="62" t="n"/>
      <c r="Z56" s="62" t="n"/>
    </row>
    <row r="57" ht="15.75" customHeight="1" s="68">
      <c r="A57" s="59" t="n"/>
      <c r="B57" s="62" t="n"/>
      <c r="C57" s="63" t="inlineStr">
        <is>
          <t>_ Loại Trung bình: Từ 50 đến dưới 65 điểm</t>
        </is>
      </c>
      <c r="H57" s="62">
        <f>COUNTIF($K$14:$K$50,"Trung bình")</f>
        <v/>
      </c>
      <c r="I57" s="62" t="inlineStr">
        <is>
          <t>Sinh viên</t>
        </is>
      </c>
      <c r="J57" s="64">
        <f>H57/$C$52%</f>
        <v/>
      </c>
      <c r="K57" s="62" t="inlineStr">
        <is>
          <t>%</t>
        </is>
      </c>
      <c r="L57" s="62" t="n"/>
      <c r="M57" s="62" t="n"/>
      <c r="N57" s="62" t="n"/>
      <c r="O57" s="62" t="n"/>
      <c r="P57" s="62" t="n"/>
      <c r="Q57" s="62" t="n"/>
      <c r="R57" s="62" t="n"/>
      <c r="S57" s="62" t="n"/>
      <c r="T57" s="62" t="n"/>
      <c r="U57" s="62" t="n"/>
      <c r="V57" s="62" t="n"/>
      <c r="W57" s="62" t="n"/>
      <c r="X57" s="62" t="n"/>
      <c r="Y57" s="62" t="n"/>
      <c r="Z57" s="62" t="n"/>
    </row>
    <row r="58" ht="15.75" customHeight="1" s="68">
      <c r="A58" s="59" t="n"/>
      <c r="B58" s="62" t="n"/>
      <c r="C58" s="63" t="inlineStr">
        <is>
          <t>_ Loại Yếu: Từ 35 đến dưới 50 điểm</t>
        </is>
      </c>
      <c r="D58" s="63" t="n"/>
      <c r="E58" s="63" t="n"/>
      <c r="F58" s="63" t="n"/>
      <c r="G58" s="3" t="n"/>
      <c r="H58" s="62">
        <f>COUNTIF($K$14:$K$50,"Yếu")</f>
        <v/>
      </c>
      <c r="I58" s="62" t="inlineStr">
        <is>
          <t>Sinh viên</t>
        </is>
      </c>
      <c r="J58" s="64">
        <f>H58/$C$52%</f>
        <v/>
      </c>
      <c r="K58" s="62" t="inlineStr">
        <is>
          <t>%</t>
        </is>
      </c>
      <c r="L58" s="62" t="n"/>
      <c r="M58" s="62" t="n"/>
      <c r="N58" s="62" t="n"/>
      <c r="O58" s="62" t="n"/>
      <c r="P58" s="62" t="n"/>
      <c r="Q58" s="62" t="n"/>
      <c r="R58" s="62" t="n"/>
      <c r="S58" s="62" t="n"/>
      <c r="T58" s="62" t="n"/>
      <c r="U58" s="62" t="n"/>
      <c r="V58" s="62" t="n"/>
      <c r="W58" s="62" t="n"/>
      <c r="X58" s="62" t="n"/>
      <c r="Y58" s="62" t="n"/>
      <c r="Z58" s="62" t="n"/>
    </row>
    <row r="59" ht="15.75" customHeight="1" s="68">
      <c r="A59" s="59" t="n"/>
      <c r="B59" s="62" t="n"/>
      <c r="C59" s="63" t="inlineStr">
        <is>
          <t>_ Loại kém: Dưới 35 điểm</t>
        </is>
      </c>
      <c r="D59" s="63" t="n"/>
      <c r="E59" s="63" t="n"/>
      <c r="F59" s="63" t="n"/>
      <c r="G59" s="3" t="n"/>
      <c r="H59" s="62">
        <f>COUNTIF($K$14:$K$50,"Kém")</f>
        <v/>
      </c>
      <c r="I59" s="62" t="inlineStr">
        <is>
          <t>Sinh viên</t>
        </is>
      </c>
      <c r="J59" s="64">
        <f>H59/$C$52%</f>
        <v/>
      </c>
      <c r="K59" s="62" t="inlineStr">
        <is>
          <t>%</t>
        </is>
      </c>
      <c r="L59" s="62" t="n"/>
      <c r="M59" s="62" t="n"/>
      <c r="N59" s="62" t="n"/>
      <c r="O59" s="62" t="n"/>
      <c r="P59" s="62" t="n"/>
      <c r="Q59" s="62" t="n"/>
      <c r="R59" s="62" t="n"/>
      <c r="S59" s="62" t="n"/>
      <c r="T59" s="62" t="n"/>
      <c r="U59" s="62" t="n"/>
      <c r="V59" s="62" t="n"/>
      <c r="W59" s="62" t="n"/>
      <c r="X59" s="62" t="n"/>
      <c r="Y59" s="62" t="n"/>
      <c r="Z59" s="62" t="n"/>
    </row>
    <row r="60" ht="15.75" customHeight="1" s="68">
      <c r="A60" s="59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7.25" customHeight="1" s="68">
      <c r="A61" s="7" t="inlineStr">
        <is>
          <t>Khoa đào tạo</t>
        </is>
      </c>
      <c r="D61" s="3" t="n"/>
      <c r="E61" s="7" t="inlineStr">
        <is>
          <t>Cố vấn học tập</t>
        </is>
      </c>
      <c r="I61" s="7" t="inlineStr">
        <is>
          <t>Lớp trưởng</t>
        </is>
      </c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21.75" customHeight="1" s="68">
      <c r="A62" s="3" t="n"/>
      <c r="B62" s="65" t="n"/>
      <c r="C62" s="65" t="n"/>
      <c r="D62" s="3" t="n"/>
      <c r="E62" s="66" t="inlineStr">
        <is>
          <t>(Ký và ghi rõ họ tên)</t>
        </is>
      </c>
      <c r="I62" s="66" t="inlineStr">
        <is>
          <t>(Ký và ghi rõ họ tên)</t>
        </is>
      </c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68">
      <c r="A63" s="1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68">
      <c r="A64" s="1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6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6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68">
      <c r="A67" s="67" t="inlineStr">
        <is>
          <t>Công nghệ thông tin 2</t>
        </is>
      </c>
      <c r="D67" s="3" t="n"/>
      <c r="E67" s="67" t="inlineStr">
        <is>
          <t>Nguyễn Trung Hiếu</t>
        </is>
      </c>
      <c r="I67" s="67" t="inlineStr">
        <is>
          <t>Ngô Trí Long</t>
        </is>
      </c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6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6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6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6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6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6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6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6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6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6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6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6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6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6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6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6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6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6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6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6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6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6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6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6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6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6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6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6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6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6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6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6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6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6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6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6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6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6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6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6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6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6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6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6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6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6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6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6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6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6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6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6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6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6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6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6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6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6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6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6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6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6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6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6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6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6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6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6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6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6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6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6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6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6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6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6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6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6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6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6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6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6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6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6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6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6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6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6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6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6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6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6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6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6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6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6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6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6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6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6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6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6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6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6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6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6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6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6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6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6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6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6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6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6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6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6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6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6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6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6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6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6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6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6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6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6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6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6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6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6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6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6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6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6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6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6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6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6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6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6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6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6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6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6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6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6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6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6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6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6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6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6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6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6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6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6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6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6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6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6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6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6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6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6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6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6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6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6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6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6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6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6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6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6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6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6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6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6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6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6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6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6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6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6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6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6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6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6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6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6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6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6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6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6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6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6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6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6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6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6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6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6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6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6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6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6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6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6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6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6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6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6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6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6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6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6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6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6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6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6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6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6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6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6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6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6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6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6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6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6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6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6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6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6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6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6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6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6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6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6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6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6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6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6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6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6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6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6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6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6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6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6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6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6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6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6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6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6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6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6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6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6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6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6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6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6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6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6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6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6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6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6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6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6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6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6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6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6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6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6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6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6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6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6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6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6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6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6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6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6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6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6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6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6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6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6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6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6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6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6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6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6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6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6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6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6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6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6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6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6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6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6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6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6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6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6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6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6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6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6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6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6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6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6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6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6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6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6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6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6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6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6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6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6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6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6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6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6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6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6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6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6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6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6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6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6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6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6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6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6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6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6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6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6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6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6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6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6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6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6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6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6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6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6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6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6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6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6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6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6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6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6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6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6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6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6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6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6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6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6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6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6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6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6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6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6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6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6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6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6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6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6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6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6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6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6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6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6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6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6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6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6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6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6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6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6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6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6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6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6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6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6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6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6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6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6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6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6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6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6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6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6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6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6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6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6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6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6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6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6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6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6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6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6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6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6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6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6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6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6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6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6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6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6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6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6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6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6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6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6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6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6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6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6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6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6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6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6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6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6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6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6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6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6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6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6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6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6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6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6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6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6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6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6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6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6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6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6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6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6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6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6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6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6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6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6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6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6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6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6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6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6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6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6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6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6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6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6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6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6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6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6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6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6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6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6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6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6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6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6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6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6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6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6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6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6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6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6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6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6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6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6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6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6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6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6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6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6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6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6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6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6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6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6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6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6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6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6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6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6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6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6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6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6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6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6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6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6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6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6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6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6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6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6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6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6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6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6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6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6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6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6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6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6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6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6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6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6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6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6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6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6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6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6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6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6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6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6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6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6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6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6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6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6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6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6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6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6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6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6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6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6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6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6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6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6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6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6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6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6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6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6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6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6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6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6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6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6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6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6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6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6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6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6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6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6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6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6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6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6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6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6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6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6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6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6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6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6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6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6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6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6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6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6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6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6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6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6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6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6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6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6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6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6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6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6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6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6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6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6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6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6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6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6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6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6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6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6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6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6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6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6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6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6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6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6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6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6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6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6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6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6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6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6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6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6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6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6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6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6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6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6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6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6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6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6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6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6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6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6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6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6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6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6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6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6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6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6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6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6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6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6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6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6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6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6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6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6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6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6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6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6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6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6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6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6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6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6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6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6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6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6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6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6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6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6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6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6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6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6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6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6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6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6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6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6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6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6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6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6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6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6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6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6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6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6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6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6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6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6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6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6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6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6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6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6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6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6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6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6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6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6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6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6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6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6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6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6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6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6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6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6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6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6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6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6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6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6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6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6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6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6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6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6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6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6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6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6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6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6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6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6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6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6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6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6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6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6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6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6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6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6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6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6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6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6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6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6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6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6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6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6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6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6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6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6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6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6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6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6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6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6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6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6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6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6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6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6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6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6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6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6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6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6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6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6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6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6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6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6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6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6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6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6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6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6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6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6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6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6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6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6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6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6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6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6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6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6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6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6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6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6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6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6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6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6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6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6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6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6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6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6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6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6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6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6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6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6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6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6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6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6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6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6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6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6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6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6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6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6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6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6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6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6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6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6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6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6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6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6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6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6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6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6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6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6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6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6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6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6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6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6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6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6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6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6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6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6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6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6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6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6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6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  <row r="1001" ht="15.75" customHeight="1" s="68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3" t="n"/>
      <c r="K1001" s="3" t="n"/>
      <c r="L1001" s="3" t="n"/>
      <c r="M1001" s="3" t="n"/>
      <c r="N1001" s="3" t="n"/>
      <c r="O1001" s="3" t="n"/>
      <c r="P1001" s="3" t="n"/>
      <c r="Q1001" s="3" t="n"/>
      <c r="R1001" s="3" t="n"/>
      <c r="S1001" s="3" t="n"/>
      <c r="T1001" s="3" t="n"/>
      <c r="U1001" s="3" t="n"/>
      <c r="V1001" s="3" t="n"/>
      <c r="W1001" s="3" t="n"/>
      <c r="X1001" s="3" t="n"/>
      <c r="Y1001" s="3" t="n"/>
      <c r="Z1001" s="3" t="n"/>
    </row>
    <row r="1002" ht="15.75" customHeight="1" s="68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3" t="n"/>
      <c r="K1002" s="3" t="n"/>
      <c r="L1002" s="3" t="n"/>
      <c r="M1002" s="3" t="n"/>
      <c r="N1002" s="3" t="n"/>
      <c r="O1002" s="3" t="n"/>
      <c r="P1002" s="3" t="n"/>
      <c r="Q1002" s="3" t="n"/>
      <c r="R1002" s="3" t="n"/>
      <c r="S1002" s="3" t="n"/>
      <c r="T1002" s="3" t="n"/>
      <c r="U1002" s="3" t="n"/>
      <c r="V1002" s="3" t="n"/>
      <c r="W1002" s="3" t="n"/>
      <c r="X1002" s="3" t="n"/>
      <c r="Y1002" s="3" t="n"/>
      <c r="Z1002" s="3" t="n"/>
    </row>
    <row r="1003" ht="15.75" customHeight="1" s="68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3" t="n"/>
      <c r="K1003" s="3" t="n"/>
      <c r="L1003" s="3" t="n"/>
      <c r="M1003" s="3" t="n"/>
      <c r="N1003" s="3" t="n"/>
      <c r="O1003" s="3" t="n"/>
      <c r="P1003" s="3" t="n"/>
      <c r="Q1003" s="3" t="n"/>
      <c r="R1003" s="3" t="n"/>
      <c r="S1003" s="3" t="n"/>
      <c r="T1003" s="3" t="n"/>
      <c r="U1003" s="3" t="n"/>
      <c r="V1003" s="3" t="n"/>
      <c r="W1003" s="3" t="n"/>
      <c r="X1003" s="3" t="n"/>
      <c r="Y1003" s="3" t="n"/>
      <c r="Z1003" s="3" t="n"/>
    </row>
    <row r="1004" ht="15.75" customHeight="1" s="68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3" t="n"/>
      <c r="K1004" s="3" t="n"/>
      <c r="L1004" s="3" t="n"/>
      <c r="M1004" s="3" t="n"/>
      <c r="N1004" s="3" t="n"/>
      <c r="O1004" s="3" t="n"/>
      <c r="P1004" s="3" t="n"/>
      <c r="Q1004" s="3" t="n"/>
      <c r="R1004" s="3" t="n"/>
      <c r="S1004" s="3" t="n"/>
      <c r="T1004" s="3" t="n"/>
      <c r="U1004" s="3" t="n"/>
      <c r="V1004" s="3" t="n"/>
      <c r="W1004" s="3" t="n"/>
      <c r="X1004" s="3" t="n"/>
      <c r="Y1004" s="3" t="n"/>
      <c r="Z1004" s="3" t="n"/>
    </row>
    <row r="1005" ht="15.75" customHeight="1" s="68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3" t="n"/>
      <c r="K1005" s="3" t="n"/>
      <c r="L1005" s="3" t="n"/>
      <c r="M1005" s="3" t="n"/>
      <c r="N1005" s="3" t="n"/>
      <c r="O1005" s="3" t="n"/>
      <c r="P1005" s="3" t="n"/>
      <c r="Q1005" s="3" t="n"/>
      <c r="R1005" s="3" t="n"/>
      <c r="S1005" s="3" t="n"/>
      <c r="T1005" s="3" t="n"/>
      <c r="U1005" s="3" t="n"/>
      <c r="V1005" s="3" t="n"/>
      <c r="W1005" s="3" t="n"/>
      <c r="X1005" s="3" t="n"/>
      <c r="Y1005" s="3" t="n"/>
      <c r="Z1005" s="3" t="n"/>
    </row>
    <row r="1006" ht="15.75" customHeight="1" s="68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3" t="n"/>
      <c r="K1006" s="3" t="n"/>
      <c r="L1006" s="3" t="n"/>
      <c r="M1006" s="3" t="n"/>
      <c r="N1006" s="3" t="n"/>
      <c r="O1006" s="3" t="n"/>
      <c r="P1006" s="3" t="n"/>
      <c r="Q1006" s="3" t="n"/>
      <c r="R1006" s="3" t="n"/>
      <c r="S1006" s="3" t="n"/>
      <c r="T1006" s="3" t="n"/>
      <c r="U1006" s="3" t="n"/>
      <c r="V1006" s="3" t="n"/>
      <c r="W1006" s="3" t="n"/>
      <c r="X1006" s="3" t="n"/>
      <c r="Y1006" s="3" t="n"/>
      <c r="Z1006" s="3" t="n"/>
    </row>
    <row r="1007" ht="15.75" customHeight="1" s="68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3" t="n"/>
      <c r="K1007" s="3" t="n"/>
      <c r="L1007" s="3" t="n"/>
      <c r="M1007" s="3" t="n"/>
      <c r="N1007" s="3" t="n"/>
      <c r="O1007" s="3" t="n"/>
      <c r="P1007" s="3" t="n"/>
      <c r="Q1007" s="3" t="n"/>
      <c r="R1007" s="3" t="n"/>
      <c r="S1007" s="3" t="n"/>
      <c r="T1007" s="3" t="n"/>
      <c r="U1007" s="3" t="n"/>
      <c r="V1007" s="3" t="n"/>
      <c r="W1007" s="3" t="n"/>
      <c r="X1007" s="3" t="n"/>
      <c r="Y1007" s="3" t="n"/>
      <c r="Z1007" s="3" t="n"/>
    </row>
    <row r="1008" ht="15.75" customHeight="1" s="6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3" t="n"/>
      <c r="K1008" s="3" t="n"/>
      <c r="L1008" s="3" t="n"/>
      <c r="M1008" s="3" t="n"/>
      <c r="N1008" s="3" t="n"/>
      <c r="O1008" s="3" t="n"/>
      <c r="P1008" s="3" t="n"/>
      <c r="Q1008" s="3" t="n"/>
      <c r="R1008" s="3" t="n"/>
      <c r="S1008" s="3" t="n"/>
      <c r="T1008" s="3" t="n"/>
      <c r="U1008" s="3" t="n"/>
      <c r="V1008" s="3" t="n"/>
      <c r="W1008" s="3" t="n"/>
      <c r="X1008" s="3" t="n"/>
      <c r="Y1008" s="3" t="n"/>
      <c r="Z1008" s="3" t="n"/>
    </row>
    <row r="1009" ht="15.75" customHeight="1" s="68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3" t="n"/>
      <c r="K1009" s="3" t="n"/>
      <c r="L1009" s="3" t="n"/>
      <c r="M1009" s="3" t="n"/>
      <c r="N1009" s="3" t="n"/>
      <c r="O1009" s="3" t="n"/>
      <c r="P1009" s="3" t="n"/>
      <c r="Q1009" s="3" t="n"/>
      <c r="R1009" s="3" t="n"/>
      <c r="S1009" s="3" t="n"/>
      <c r="T1009" s="3" t="n"/>
      <c r="U1009" s="3" t="n"/>
      <c r="V1009" s="3" t="n"/>
      <c r="W1009" s="3" t="n"/>
      <c r="X1009" s="3" t="n"/>
      <c r="Y1009" s="3" t="n"/>
      <c r="Z1009" s="3" t="n"/>
    </row>
    <row r="1010" ht="15.75" customHeight="1" s="68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3" t="n"/>
      <c r="K1010" s="3" t="n"/>
      <c r="L1010" s="3" t="n"/>
      <c r="M1010" s="3" t="n"/>
      <c r="N1010" s="3" t="n"/>
      <c r="O1010" s="3" t="n"/>
      <c r="P1010" s="3" t="n"/>
      <c r="Q1010" s="3" t="n"/>
      <c r="R1010" s="3" t="n"/>
      <c r="S1010" s="3" t="n"/>
      <c r="T1010" s="3" t="n"/>
      <c r="U1010" s="3" t="n"/>
      <c r="V1010" s="3" t="n"/>
      <c r="W1010" s="3" t="n"/>
      <c r="X1010" s="3" t="n"/>
      <c r="Y1010" s="3" t="n"/>
      <c r="Z1010" s="3" t="n"/>
    </row>
    <row r="1011" ht="15.75" customHeight="1" s="68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3" t="n"/>
      <c r="K1011" s="3" t="n"/>
      <c r="L1011" s="3" t="n"/>
      <c r="M1011" s="3" t="n"/>
      <c r="N1011" s="3" t="n"/>
      <c r="O1011" s="3" t="n"/>
      <c r="P1011" s="3" t="n"/>
      <c r="Q1011" s="3" t="n"/>
      <c r="R1011" s="3" t="n"/>
      <c r="S1011" s="3" t="n"/>
      <c r="T1011" s="3" t="n"/>
      <c r="U1011" s="3" t="n"/>
      <c r="V1011" s="3" t="n"/>
      <c r="W1011" s="3" t="n"/>
      <c r="X1011" s="3" t="n"/>
      <c r="Y1011" s="3" t="n"/>
      <c r="Z1011" s="3" t="n"/>
    </row>
    <row r="1012" ht="15.75" customHeight="1" s="68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3" t="n"/>
      <c r="K1012" s="3" t="n"/>
      <c r="L1012" s="3" t="n"/>
      <c r="M1012" s="3" t="n"/>
      <c r="N1012" s="3" t="n"/>
      <c r="O1012" s="3" t="n"/>
      <c r="P1012" s="3" t="n"/>
      <c r="Q1012" s="3" t="n"/>
      <c r="R1012" s="3" t="n"/>
      <c r="S1012" s="3" t="n"/>
      <c r="T1012" s="3" t="n"/>
      <c r="U1012" s="3" t="n"/>
      <c r="V1012" s="3" t="n"/>
      <c r="W1012" s="3" t="n"/>
      <c r="X1012" s="3" t="n"/>
      <c r="Y1012" s="3" t="n"/>
      <c r="Z1012" s="3" t="n"/>
    </row>
    <row r="1013" ht="15.75" customHeight="1" s="68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3" t="n"/>
      <c r="K1013" s="3" t="n"/>
      <c r="L1013" s="3" t="n"/>
      <c r="M1013" s="3" t="n"/>
      <c r="N1013" s="3" t="n"/>
      <c r="O1013" s="3" t="n"/>
      <c r="P1013" s="3" t="n"/>
      <c r="Q1013" s="3" t="n"/>
      <c r="R1013" s="3" t="n"/>
      <c r="S1013" s="3" t="n"/>
      <c r="T1013" s="3" t="n"/>
      <c r="U1013" s="3" t="n"/>
      <c r="V1013" s="3" t="n"/>
      <c r="W1013" s="3" t="n"/>
      <c r="X1013" s="3" t="n"/>
      <c r="Y1013" s="3" t="n"/>
      <c r="Z1013" s="3" t="n"/>
    </row>
    <row r="1014" ht="15.75" customHeight="1" s="68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3" t="n"/>
      <c r="K1014" s="3" t="n"/>
      <c r="L1014" s="3" t="n"/>
      <c r="M1014" s="3" t="n"/>
      <c r="N1014" s="3" t="n"/>
      <c r="O1014" s="3" t="n"/>
      <c r="P1014" s="3" t="n"/>
      <c r="Q1014" s="3" t="n"/>
      <c r="R1014" s="3" t="n"/>
      <c r="S1014" s="3" t="n"/>
      <c r="T1014" s="3" t="n"/>
      <c r="U1014" s="3" t="n"/>
      <c r="V1014" s="3" t="n"/>
      <c r="W1014" s="3" t="n"/>
      <c r="X1014" s="3" t="n"/>
      <c r="Y1014" s="3" t="n"/>
      <c r="Z1014" s="3" t="n"/>
    </row>
    <row r="1015" ht="15.75" customHeight="1" s="68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3" t="n"/>
      <c r="K1015" s="3" t="n"/>
      <c r="L1015" s="3" t="n"/>
      <c r="M1015" s="3" t="n"/>
      <c r="N1015" s="3" t="n"/>
      <c r="O1015" s="3" t="n"/>
      <c r="P1015" s="3" t="n"/>
      <c r="Q1015" s="3" t="n"/>
      <c r="R1015" s="3" t="n"/>
      <c r="S1015" s="3" t="n"/>
      <c r="T1015" s="3" t="n"/>
      <c r="U1015" s="3" t="n"/>
      <c r="V1015" s="3" t="n"/>
      <c r="W1015" s="3" t="n"/>
      <c r="X1015" s="3" t="n"/>
      <c r="Y1015" s="3" t="n"/>
      <c r="Z1015" s="3" t="n"/>
    </row>
    <row r="1016" ht="15.75" customHeight="1" s="68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3" t="n"/>
      <c r="K1016" s="3" t="n"/>
      <c r="L1016" s="3" t="n"/>
      <c r="M1016" s="3" t="n"/>
      <c r="N1016" s="3" t="n"/>
      <c r="O1016" s="3" t="n"/>
      <c r="P1016" s="3" t="n"/>
      <c r="Q1016" s="3" t="n"/>
      <c r="R1016" s="3" t="n"/>
      <c r="S1016" s="3" t="n"/>
      <c r="T1016" s="3" t="n"/>
      <c r="U1016" s="3" t="n"/>
      <c r="V1016" s="3" t="n"/>
      <c r="W1016" s="3" t="n"/>
      <c r="X1016" s="3" t="n"/>
      <c r="Y1016" s="3" t="n"/>
      <c r="Z1016" s="3" t="n"/>
    </row>
    <row r="1017" ht="15.75" customHeight="1" s="68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3" t="n"/>
      <c r="K1017" s="3" t="n"/>
      <c r="L1017" s="3" t="n"/>
      <c r="M1017" s="3" t="n"/>
      <c r="N1017" s="3" t="n"/>
      <c r="O1017" s="3" t="n"/>
      <c r="P1017" s="3" t="n"/>
      <c r="Q1017" s="3" t="n"/>
      <c r="R1017" s="3" t="n"/>
      <c r="S1017" s="3" t="n"/>
      <c r="T1017" s="3" t="n"/>
      <c r="U1017" s="3" t="n"/>
      <c r="V1017" s="3" t="n"/>
      <c r="W1017" s="3" t="n"/>
      <c r="X1017" s="3" t="n"/>
      <c r="Y1017" s="3" t="n"/>
      <c r="Z1017" s="3" t="n"/>
    </row>
    <row r="1018" ht="15.75" customHeight="1" s="6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3" t="n"/>
      <c r="K1018" s="3" t="n"/>
      <c r="L1018" s="3" t="n"/>
      <c r="M1018" s="3" t="n"/>
      <c r="N1018" s="3" t="n"/>
      <c r="O1018" s="3" t="n"/>
      <c r="P1018" s="3" t="n"/>
      <c r="Q1018" s="3" t="n"/>
      <c r="R1018" s="3" t="n"/>
      <c r="S1018" s="3" t="n"/>
      <c r="T1018" s="3" t="n"/>
      <c r="U1018" s="3" t="n"/>
      <c r="V1018" s="3" t="n"/>
      <c r="W1018" s="3" t="n"/>
      <c r="X1018" s="3" t="n"/>
      <c r="Y1018" s="3" t="n"/>
      <c r="Z1018" s="3" t="n"/>
    </row>
  </sheetData>
  <mergeCells count="25">
    <mergeCell ref="A7:L7"/>
    <mergeCell ref="E61:H61"/>
    <mergeCell ref="B1:D1"/>
    <mergeCell ref="L12:L13"/>
    <mergeCell ref="G3:L3"/>
    <mergeCell ref="A3:F3"/>
    <mergeCell ref="A2:F2"/>
    <mergeCell ref="A12:A13"/>
    <mergeCell ref="K12:K13"/>
    <mergeCell ref="E62:H62"/>
    <mergeCell ref="D12:D13"/>
    <mergeCell ref="E67:H67"/>
    <mergeCell ref="I61:L61"/>
    <mergeCell ref="C54:F54"/>
    <mergeCell ref="A67:C67"/>
    <mergeCell ref="E12:J12"/>
    <mergeCell ref="C55:F55"/>
    <mergeCell ref="F5:L5"/>
    <mergeCell ref="B12:C13"/>
    <mergeCell ref="G2:L2"/>
    <mergeCell ref="C56:F56"/>
    <mergeCell ref="A61:C61"/>
    <mergeCell ref="C57:G57"/>
    <mergeCell ref="I62:L62"/>
    <mergeCell ref="I67:L67"/>
  </mergeCells>
  <pageMargins left="0.17" right="0.17" top="0.4" bottom="0.34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WindowsXP Professional SP3</dc:creator>
  <dcterms:created xmlns:dcterms="http://purl.org/dc/terms/" xmlns:xsi="http://www.w3.org/2001/XMLSchema-instance" xsi:type="dcterms:W3CDTF">2015-01-26T01:45:45Z</dcterms:created>
  <dcterms:modified xmlns:dcterms="http://purl.org/dc/terms/" xmlns:xsi="http://www.w3.org/2001/XMLSchema-instance" xsi:type="dcterms:W3CDTF">2026-08-02T04:42:11Z</dcterms:modified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1f885be4-1fe0-4843-b09a-5245f2d967e0</vt:lpwstr>
  </property>
</Properties>
</file>